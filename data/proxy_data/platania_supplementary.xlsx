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parnassiagroep.nl\dfs\Afdeling\PsyQ\Kenniscentrum ADHD bij volwassenen\ONDERZOEK\2024_DIVA-5-F_ROM\G_Output\1_Publication\"/>
    </mc:Choice>
  </mc:AlternateContent>
  <xr:revisionPtr revIDLastSave="0" documentId="13_ncr:1_{F04046D9-D3D5-4DB4-A5BD-A69C60503EC2}" xr6:coauthVersionLast="47" xr6:coauthVersionMax="47" xr10:uidLastSave="{00000000-0000-0000-0000-000000000000}"/>
  <bookViews>
    <workbookView xWindow="-120" yWindow="-120" windowWidth="23280" windowHeight="12600" xr2:uid="{14A67BCE-CA65-4A7B-83E4-49C2C8547336}"/>
  </bookViews>
  <sheets>
    <sheet name="Adulthood symptoms" sheetId="11" r:id="rId1"/>
    <sheet name="Childhood symptoms" sheetId="12" r:id="rId2"/>
    <sheet name="Adulthood impairment" sheetId="14" r:id="rId3"/>
    <sheet name="Childhood impairment" sheetId="13" r:id="rId4"/>
    <sheet name="Adulthood symptom examples" sheetId="10" r:id="rId5"/>
    <sheet name="Childhood symptom examples" sheetId="4" r:id="rId6"/>
    <sheet name="Adulthood impairment examples" sheetId="6" r:id="rId7"/>
    <sheet name="Childhood impairment examples" sheetId="8" r:id="rId8"/>
  </sheets>
  <definedNames>
    <definedName name="_Hlk177116352" localSheetId="2">'Adulthood impairment'!$A$15</definedName>
    <definedName name="_Hlk177116352" localSheetId="0">'Adulthood symptoms'!$A$15</definedName>
    <definedName name="_Hlk177116352" localSheetId="3">'Childhood impairment'!$A$15</definedName>
    <definedName name="_Hlk177116352" localSheetId="1">'Childhood symptoms'!$A$15</definedName>
    <definedName name="ExternalData_1" localSheetId="6" hidden="1">'Adulthood impairment examples'!$A$1:$D$183</definedName>
    <definedName name="ExternalData_1" localSheetId="4" hidden="1">'Adulthood symptom examples'!$A$1:$D$184</definedName>
    <definedName name="ExternalData_1" localSheetId="7" hidden="1">'Childhood impairment examples'!$A$1:$D$176</definedName>
    <definedName name="ExternalData_1" localSheetId="5" hidden="1">'Childhood symptom examples'!$A$1:$D$174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4" l="1"/>
  <c r="I6" i="14"/>
  <c r="J5" i="14"/>
  <c r="I5" i="14"/>
  <c r="J4" i="14"/>
  <c r="I4" i="14"/>
  <c r="J3" i="14"/>
  <c r="I3" i="14"/>
  <c r="J2" i="14"/>
  <c r="I2" i="14"/>
  <c r="J6" i="13"/>
  <c r="I6" i="13"/>
  <c r="J5" i="13"/>
  <c r="I5" i="13"/>
  <c r="J4" i="13"/>
  <c r="I4" i="13"/>
  <c r="J3" i="13"/>
  <c r="I3" i="13"/>
  <c r="J2" i="13"/>
  <c r="I2" i="13"/>
  <c r="J19" i="12"/>
  <c r="I19" i="12"/>
  <c r="J18" i="12"/>
  <c r="I18" i="12"/>
  <c r="J17" i="12"/>
  <c r="I17" i="12"/>
  <c r="J16" i="12"/>
  <c r="I16" i="12"/>
  <c r="J15" i="12"/>
  <c r="I15" i="12"/>
  <c r="J14" i="12"/>
  <c r="I14" i="12"/>
  <c r="J13" i="12"/>
  <c r="I13" i="12"/>
  <c r="J12" i="12"/>
  <c r="I12" i="12"/>
  <c r="J11" i="12"/>
  <c r="I11" i="12"/>
  <c r="J10" i="12"/>
  <c r="I10" i="12"/>
  <c r="J9" i="12"/>
  <c r="I9" i="12"/>
  <c r="J8" i="12"/>
  <c r="I8" i="12"/>
  <c r="J7" i="12"/>
  <c r="I7" i="12"/>
  <c r="J6" i="12"/>
  <c r="I6" i="12"/>
  <c r="J5" i="12"/>
  <c r="I5" i="12"/>
  <c r="J4" i="12"/>
  <c r="I4" i="12"/>
  <c r="J3" i="12"/>
  <c r="I3" i="12"/>
  <c r="J2" i="12"/>
  <c r="I2" i="12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" i="11"/>
  <c r="Q3" i="10"/>
  <c r="J2" i="11"/>
  <c r="L2" i="14" l="1"/>
  <c r="K2" i="14"/>
  <c r="L3" i="14"/>
  <c r="K3" i="14"/>
  <c r="L4" i="14"/>
  <c r="K4" i="14"/>
  <c r="L5" i="14"/>
  <c r="K5" i="14"/>
  <c r="L6" i="14"/>
  <c r="K6" i="14"/>
  <c r="L2" i="13"/>
  <c r="K2" i="13"/>
  <c r="L3" i="13"/>
  <c r="K3" i="13"/>
  <c r="L4" i="13"/>
  <c r="K4" i="13"/>
  <c r="L5" i="13"/>
  <c r="K5" i="13"/>
  <c r="L6" i="13"/>
  <c r="K6" i="13"/>
  <c r="L2" i="12"/>
  <c r="K2" i="12"/>
  <c r="L3" i="12"/>
  <c r="K3" i="12"/>
  <c r="L4" i="12"/>
  <c r="K4" i="12"/>
  <c r="L5" i="12"/>
  <c r="K5" i="12"/>
  <c r="L6" i="12"/>
  <c r="K6" i="12"/>
  <c r="L7" i="12"/>
  <c r="K7" i="12"/>
  <c r="L8" i="12"/>
  <c r="K8" i="12"/>
  <c r="L9" i="12"/>
  <c r="K9" i="12"/>
  <c r="L10" i="12"/>
  <c r="K10" i="12"/>
  <c r="L11" i="12"/>
  <c r="K11" i="12"/>
  <c r="L12" i="12"/>
  <c r="K12" i="12"/>
  <c r="L13" i="12"/>
  <c r="K13" i="12"/>
  <c r="L14" i="12"/>
  <c r="K14" i="12"/>
  <c r="L15" i="12"/>
  <c r="K15" i="12"/>
  <c r="L16" i="12"/>
  <c r="K16" i="12"/>
  <c r="L17" i="12"/>
  <c r="K17" i="12"/>
  <c r="L18" i="12"/>
  <c r="K18" i="12"/>
  <c r="L19" i="12"/>
  <c r="K19" i="12"/>
  <c r="R4" i="10"/>
  <c r="S4" i="10"/>
  <c r="T4" i="10"/>
  <c r="R5" i="10"/>
  <c r="S5" i="10"/>
  <c r="T5" i="10"/>
  <c r="R6" i="10"/>
  <c r="S6" i="10"/>
  <c r="T6" i="10"/>
  <c r="R7" i="10"/>
  <c r="S7" i="10"/>
  <c r="T7" i="10"/>
  <c r="R8" i="10"/>
  <c r="S8" i="10"/>
  <c r="T8" i="10"/>
  <c r="R9" i="10"/>
  <c r="S9" i="10"/>
  <c r="T9" i="10"/>
  <c r="R10" i="10"/>
  <c r="S10" i="10"/>
  <c r="T10" i="10"/>
  <c r="R11" i="10"/>
  <c r="S11" i="10"/>
  <c r="T11" i="10"/>
  <c r="R14" i="10"/>
  <c r="S14" i="10"/>
  <c r="T14" i="10"/>
  <c r="R15" i="10"/>
  <c r="S15" i="10"/>
  <c r="T15" i="10"/>
  <c r="R16" i="10"/>
  <c r="S16" i="10"/>
  <c r="T16" i="10"/>
  <c r="R17" i="10"/>
  <c r="S17" i="10"/>
  <c r="T17" i="10"/>
  <c r="R18" i="10"/>
  <c r="S18" i="10"/>
  <c r="T18" i="10"/>
  <c r="R19" i="10"/>
  <c r="S19" i="10"/>
  <c r="T19" i="10"/>
  <c r="R20" i="10"/>
  <c r="S20" i="10"/>
  <c r="T20" i="10"/>
  <c r="R23" i="10"/>
  <c r="S23" i="10"/>
  <c r="T23" i="10"/>
  <c r="R24" i="10"/>
  <c r="S24" i="10"/>
  <c r="T24" i="10"/>
  <c r="R25" i="10"/>
  <c r="S25" i="10"/>
  <c r="T25" i="10"/>
  <c r="R26" i="10"/>
  <c r="S26" i="10"/>
  <c r="T26" i="10"/>
  <c r="R27" i="10"/>
  <c r="S27" i="10"/>
  <c r="T27" i="10"/>
  <c r="R28" i="10"/>
  <c r="S28" i="10"/>
  <c r="T28" i="10"/>
  <c r="R31" i="10"/>
  <c r="S31" i="10"/>
  <c r="T31" i="10"/>
  <c r="R32" i="10"/>
  <c r="S32" i="10"/>
  <c r="T32" i="10"/>
  <c r="R33" i="10"/>
  <c r="S33" i="10"/>
  <c r="T33" i="10"/>
  <c r="R34" i="10"/>
  <c r="S34" i="10"/>
  <c r="T34" i="10"/>
  <c r="R35" i="10"/>
  <c r="S35" i="10"/>
  <c r="T35" i="10"/>
  <c r="R38" i="10"/>
  <c r="S38" i="10"/>
  <c r="T38" i="10"/>
  <c r="R39" i="10"/>
  <c r="S39" i="10"/>
  <c r="T39" i="10"/>
  <c r="R40" i="10"/>
  <c r="S40" i="10"/>
  <c r="T40" i="10"/>
  <c r="R41" i="10"/>
  <c r="S41" i="10"/>
  <c r="T41" i="10"/>
  <c r="R42" i="10"/>
  <c r="S42" i="10"/>
  <c r="T42" i="10"/>
  <c r="R43" i="10"/>
  <c r="S43" i="10"/>
  <c r="T43" i="10"/>
  <c r="R44" i="10"/>
  <c r="S44" i="10"/>
  <c r="T44" i="10"/>
  <c r="R45" i="10"/>
  <c r="S45" i="10"/>
  <c r="T45" i="10"/>
  <c r="R46" i="10"/>
  <c r="S46" i="10"/>
  <c r="T46" i="10"/>
  <c r="R47" i="10"/>
  <c r="S47" i="10"/>
  <c r="T47" i="10"/>
  <c r="R48" i="10"/>
  <c r="S48" i="10"/>
  <c r="T48" i="10"/>
  <c r="R49" i="10"/>
  <c r="S49" i="10"/>
  <c r="T49" i="10"/>
  <c r="R50" i="10"/>
  <c r="S50" i="10"/>
  <c r="T50" i="10"/>
  <c r="R51" i="10"/>
  <c r="S51" i="10"/>
  <c r="T51" i="10"/>
  <c r="R54" i="10"/>
  <c r="S54" i="10"/>
  <c r="T54" i="10"/>
  <c r="R55" i="10"/>
  <c r="S55" i="10"/>
  <c r="T55" i="10"/>
  <c r="R56" i="10"/>
  <c r="S56" i="10"/>
  <c r="T56" i="10"/>
  <c r="R57" i="10"/>
  <c r="S57" i="10"/>
  <c r="T57" i="10"/>
  <c r="R58" i="10"/>
  <c r="S58" i="10"/>
  <c r="T58" i="10"/>
  <c r="R59" i="10"/>
  <c r="S59" i="10"/>
  <c r="T59" i="10"/>
  <c r="R60" i="10"/>
  <c r="S60" i="10"/>
  <c r="T60" i="10"/>
  <c r="R63" i="10"/>
  <c r="S63" i="10"/>
  <c r="T63" i="10"/>
  <c r="R64" i="10"/>
  <c r="S64" i="10"/>
  <c r="T64" i="10"/>
  <c r="R65" i="10"/>
  <c r="S65" i="10"/>
  <c r="T65" i="10"/>
  <c r="R66" i="10"/>
  <c r="S66" i="10"/>
  <c r="T66" i="10"/>
  <c r="R67" i="10"/>
  <c r="S67" i="10"/>
  <c r="T67" i="10"/>
  <c r="R68" i="10"/>
  <c r="S68" i="10"/>
  <c r="T68" i="10"/>
  <c r="R69" i="10"/>
  <c r="S69" i="10"/>
  <c r="T69" i="10"/>
  <c r="R72" i="10"/>
  <c r="S72" i="10"/>
  <c r="T72" i="10"/>
  <c r="R73" i="10"/>
  <c r="S73" i="10"/>
  <c r="T73" i="10"/>
  <c r="R74" i="10"/>
  <c r="S74" i="10"/>
  <c r="T74" i="10"/>
  <c r="R75" i="10"/>
  <c r="S75" i="10"/>
  <c r="T75" i="10"/>
  <c r="R76" i="10"/>
  <c r="S76" i="10"/>
  <c r="T76" i="10"/>
  <c r="R79" i="10"/>
  <c r="S79" i="10"/>
  <c r="T79" i="10"/>
  <c r="R80" i="10"/>
  <c r="S80" i="10"/>
  <c r="T80" i="10"/>
  <c r="R81" i="10"/>
  <c r="S81" i="10"/>
  <c r="T81" i="10"/>
  <c r="R82" i="10"/>
  <c r="S82" i="10"/>
  <c r="T82" i="10"/>
  <c r="R83" i="10"/>
  <c r="S83" i="10"/>
  <c r="T83" i="10"/>
  <c r="R84" i="10"/>
  <c r="S84" i="10"/>
  <c r="T84" i="10"/>
  <c r="R85" i="10"/>
  <c r="S85" i="10"/>
  <c r="T85" i="10"/>
  <c r="R86" i="10"/>
  <c r="S86" i="10"/>
  <c r="T86" i="10"/>
  <c r="R89" i="10"/>
  <c r="S89" i="10"/>
  <c r="T89" i="10"/>
  <c r="R90" i="10"/>
  <c r="S90" i="10"/>
  <c r="T90" i="10"/>
  <c r="R91" i="10"/>
  <c r="S91" i="10"/>
  <c r="T91" i="10"/>
  <c r="R92" i="10"/>
  <c r="S92" i="10"/>
  <c r="T92" i="10"/>
  <c r="R93" i="10"/>
  <c r="S93" i="10"/>
  <c r="T93" i="10"/>
  <c r="R96" i="10"/>
  <c r="S96" i="10"/>
  <c r="T96" i="10"/>
  <c r="R97" i="10"/>
  <c r="S97" i="10"/>
  <c r="T97" i="10"/>
  <c r="R98" i="10"/>
  <c r="S98" i="10"/>
  <c r="T98" i="10"/>
  <c r="R99" i="10"/>
  <c r="S99" i="10"/>
  <c r="T99" i="10"/>
  <c r="R100" i="10"/>
  <c r="S100" i="10"/>
  <c r="T100" i="10"/>
  <c r="R101" i="10"/>
  <c r="S101" i="10"/>
  <c r="T101" i="10"/>
  <c r="R104" i="10"/>
  <c r="S104" i="10"/>
  <c r="T104" i="10"/>
  <c r="R105" i="10"/>
  <c r="S105" i="10"/>
  <c r="T105" i="10"/>
  <c r="R106" i="10"/>
  <c r="S106" i="10"/>
  <c r="T106" i="10"/>
  <c r="R109" i="10"/>
  <c r="S109" i="10"/>
  <c r="T109" i="10"/>
  <c r="R110" i="10"/>
  <c r="S110" i="10"/>
  <c r="T110" i="10"/>
  <c r="R111" i="10"/>
  <c r="S111" i="10"/>
  <c r="T111" i="10"/>
  <c r="R112" i="10"/>
  <c r="S112" i="10"/>
  <c r="T112" i="10"/>
  <c r="R113" i="10"/>
  <c r="S113" i="10"/>
  <c r="T113" i="10"/>
  <c r="R116" i="10"/>
  <c r="S116" i="10"/>
  <c r="T116" i="10"/>
  <c r="R117" i="10"/>
  <c r="S117" i="10"/>
  <c r="T117" i="10"/>
  <c r="R118" i="10"/>
  <c r="S118" i="10"/>
  <c r="T118" i="10"/>
  <c r="R119" i="10"/>
  <c r="S119" i="10"/>
  <c r="T119" i="10"/>
  <c r="R120" i="10"/>
  <c r="S120" i="10"/>
  <c r="T120" i="10"/>
  <c r="R121" i="10"/>
  <c r="S121" i="10"/>
  <c r="T121" i="10"/>
  <c r="R124" i="10"/>
  <c r="S124" i="10"/>
  <c r="T124" i="10"/>
  <c r="R125" i="10"/>
  <c r="S125" i="10"/>
  <c r="T125" i="10"/>
  <c r="R126" i="10"/>
  <c r="S126" i="10"/>
  <c r="T126" i="10"/>
  <c r="R127" i="10"/>
  <c r="S127" i="10"/>
  <c r="T127" i="10"/>
  <c r="R128" i="10"/>
  <c r="S128" i="10"/>
  <c r="T128" i="10"/>
  <c r="R129" i="10"/>
  <c r="S129" i="10"/>
  <c r="T129" i="10"/>
  <c r="R132" i="10"/>
  <c r="S132" i="10"/>
  <c r="T132" i="10"/>
  <c r="R133" i="10"/>
  <c r="S133" i="10"/>
  <c r="T133" i="10"/>
  <c r="R134" i="10"/>
  <c r="S134" i="10"/>
  <c r="T134" i="10"/>
  <c r="R135" i="10"/>
  <c r="S135" i="10"/>
  <c r="T135" i="10"/>
  <c r="R136" i="10"/>
  <c r="S136" i="10"/>
  <c r="T136" i="10"/>
  <c r="R139" i="10"/>
  <c r="S139" i="10"/>
  <c r="T139" i="10"/>
  <c r="R140" i="10"/>
  <c r="S140" i="10"/>
  <c r="T140" i="10"/>
  <c r="R141" i="10"/>
  <c r="S141" i="10"/>
  <c r="T141" i="10"/>
  <c r="R142" i="10"/>
  <c r="S142" i="10"/>
  <c r="T142" i="10"/>
  <c r="R145" i="10"/>
  <c r="S145" i="10"/>
  <c r="T145" i="10"/>
  <c r="R146" i="10"/>
  <c r="S146" i="10"/>
  <c r="T146" i="10"/>
  <c r="R147" i="10"/>
  <c r="S147" i="10"/>
  <c r="T147" i="10"/>
  <c r="R148" i="10"/>
  <c r="S148" i="10"/>
  <c r="T148" i="10"/>
  <c r="R149" i="10"/>
  <c r="S149" i="10"/>
  <c r="T149" i="10"/>
  <c r="R150" i="10"/>
  <c r="S150" i="10"/>
  <c r="T150" i="10"/>
  <c r="R3" i="10"/>
  <c r="R4" i="8"/>
  <c r="S4" i="8"/>
  <c r="T4" i="8"/>
  <c r="U4" i="8"/>
  <c r="R5" i="8"/>
  <c r="S5" i="8"/>
  <c r="T5" i="8"/>
  <c r="U5" i="8"/>
  <c r="R6" i="8"/>
  <c r="S6" i="8"/>
  <c r="T6" i="8"/>
  <c r="U6" i="8"/>
  <c r="R7" i="8"/>
  <c r="S7" i="8"/>
  <c r="T7" i="8"/>
  <c r="U7" i="8"/>
  <c r="R8" i="8"/>
  <c r="S8" i="8"/>
  <c r="T8" i="8"/>
  <c r="U8" i="8"/>
  <c r="R9" i="8"/>
  <c r="S9" i="8"/>
  <c r="T9" i="8"/>
  <c r="U9" i="8"/>
  <c r="R10" i="8"/>
  <c r="S10" i="8"/>
  <c r="T10" i="8"/>
  <c r="U10" i="8"/>
  <c r="R11" i="8"/>
  <c r="S11" i="8"/>
  <c r="T11" i="8"/>
  <c r="U11" i="8"/>
  <c r="R12" i="8"/>
  <c r="S12" i="8"/>
  <c r="T12" i="8"/>
  <c r="U12" i="8"/>
  <c r="R15" i="8"/>
  <c r="S15" i="8"/>
  <c r="T15" i="8"/>
  <c r="U15" i="8"/>
  <c r="R16" i="8"/>
  <c r="S16" i="8"/>
  <c r="T16" i="8"/>
  <c r="U16" i="8"/>
  <c r="R17" i="8"/>
  <c r="S17" i="8"/>
  <c r="T17" i="8"/>
  <c r="U17" i="8"/>
  <c r="R18" i="8"/>
  <c r="S18" i="8"/>
  <c r="T18" i="8"/>
  <c r="U18" i="8"/>
  <c r="R21" i="8"/>
  <c r="S21" i="8"/>
  <c r="T21" i="8"/>
  <c r="U21" i="8"/>
  <c r="R22" i="8"/>
  <c r="S22" i="8"/>
  <c r="T22" i="8"/>
  <c r="U22" i="8"/>
  <c r="R23" i="8"/>
  <c r="S23" i="8"/>
  <c r="T23" i="8"/>
  <c r="U23" i="8"/>
  <c r="R24" i="8"/>
  <c r="S24" i="8"/>
  <c r="T24" i="8"/>
  <c r="U24" i="8"/>
  <c r="R25" i="8"/>
  <c r="S25" i="8"/>
  <c r="T25" i="8"/>
  <c r="U25" i="8"/>
  <c r="R26" i="8"/>
  <c r="S26" i="8"/>
  <c r="T26" i="8"/>
  <c r="U26" i="8"/>
  <c r="R27" i="8"/>
  <c r="S27" i="8"/>
  <c r="T27" i="8"/>
  <c r="U27" i="8"/>
  <c r="R28" i="8"/>
  <c r="S28" i="8"/>
  <c r="T28" i="8"/>
  <c r="U28" i="8"/>
  <c r="R31" i="8"/>
  <c r="S31" i="8"/>
  <c r="T31" i="8"/>
  <c r="U31" i="8"/>
  <c r="R32" i="8"/>
  <c r="S32" i="8"/>
  <c r="T32" i="8"/>
  <c r="U32" i="8"/>
  <c r="R33" i="8"/>
  <c r="S33" i="8"/>
  <c r="T33" i="8"/>
  <c r="U33" i="8"/>
  <c r="R34" i="8"/>
  <c r="S34" i="8"/>
  <c r="T34" i="8"/>
  <c r="U34" i="8"/>
  <c r="R35" i="8"/>
  <c r="S35" i="8"/>
  <c r="T35" i="8"/>
  <c r="U35" i="8"/>
  <c r="R36" i="8"/>
  <c r="S36" i="8"/>
  <c r="T36" i="8"/>
  <c r="U36" i="8"/>
  <c r="R37" i="8"/>
  <c r="S37" i="8"/>
  <c r="T37" i="8"/>
  <c r="U37" i="8"/>
  <c r="R38" i="8"/>
  <c r="S38" i="8"/>
  <c r="T38" i="8"/>
  <c r="U38" i="8"/>
  <c r="R39" i="8"/>
  <c r="S39" i="8"/>
  <c r="T39" i="8"/>
  <c r="U39" i="8"/>
  <c r="R42" i="8"/>
  <c r="S42" i="8"/>
  <c r="T42" i="8"/>
  <c r="U42" i="8"/>
  <c r="R43" i="8"/>
  <c r="S43" i="8"/>
  <c r="T43" i="8"/>
  <c r="U43" i="8"/>
  <c r="R44" i="8"/>
  <c r="S44" i="8"/>
  <c r="T44" i="8"/>
  <c r="U44" i="8"/>
  <c r="R45" i="8"/>
  <c r="S45" i="8"/>
  <c r="T45" i="8"/>
  <c r="U45" i="8"/>
  <c r="R46" i="8"/>
  <c r="S46" i="8"/>
  <c r="T46" i="8"/>
  <c r="U46" i="8"/>
  <c r="S3" i="8"/>
  <c r="R3" i="8"/>
  <c r="R4" i="6"/>
  <c r="S4" i="6"/>
  <c r="T4" i="6"/>
  <c r="U4" i="6"/>
  <c r="R5" i="6"/>
  <c r="S5" i="6"/>
  <c r="T5" i="6"/>
  <c r="U5" i="6"/>
  <c r="R6" i="6"/>
  <c r="S6" i="6"/>
  <c r="T6" i="6"/>
  <c r="U6" i="6"/>
  <c r="R7" i="6"/>
  <c r="S7" i="6"/>
  <c r="T7" i="6"/>
  <c r="U7" i="6"/>
  <c r="R8" i="6"/>
  <c r="S8" i="6"/>
  <c r="T8" i="6"/>
  <c r="U8" i="6"/>
  <c r="R9" i="6"/>
  <c r="S9" i="6"/>
  <c r="T9" i="6"/>
  <c r="U9" i="6"/>
  <c r="R10" i="6"/>
  <c r="S10" i="6"/>
  <c r="T10" i="6"/>
  <c r="U10" i="6"/>
  <c r="R11" i="6"/>
  <c r="S11" i="6"/>
  <c r="T11" i="6"/>
  <c r="U11" i="6"/>
  <c r="R12" i="6"/>
  <c r="S12" i="6"/>
  <c r="T12" i="6"/>
  <c r="U12" i="6"/>
  <c r="R13" i="6"/>
  <c r="S13" i="6"/>
  <c r="T13" i="6"/>
  <c r="U13" i="6"/>
  <c r="R16" i="6"/>
  <c r="S16" i="6"/>
  <c r="T16" i="6"/>
  <c r="U16" i="6"/>
  <c r="R17" i="6"/>
  <c r="S17" i="6"/>
  <c r="T17" i="6"/>
  <c r="U17" i="6"/>
  <c r="R18" i="6"/>
  <c r="S18" i="6"/>
  <c r="T18" i="6"/>
  <c r="U18" i="6"/>
  <c r="R19" i="6"/>
  <c r="S19" i="6"/>
  <c r="T19" i="6"/>
  <c r="U19" i="6"/>
  <c r="R20" i="6"/>
  <c r="S20" i="6"/>
  <c r="T20" i="6"/>
  <c r="U20" i="6"/>
  <c r="R21" i="6"/>
  <c r="S21" i="6"/>
  <c r="T21" i="6"/>
  <c r="U21" i="6"/>
  <c r="R22" i="6"/>
  <c r="S22" i="6"/>
  <c r="T22" i="6"/>
  <c r="U22" i="6"/>
  <c r="R23" i="6"/>
  <c r="S23" i="6"/>
  <c r="T23" i="6"/>
  <c r="U23" i="6"/>
  <c r="R24" i="6"/>
  <c r="S24" i="6"/>
  <c r="T24" i="6"/>
  <c r="U24" i="6"/>
  <c r="R25" i="6"/>
  <c r="S25" i="6"/>
  <c r="T25" i="6"/>
  <c r="U25" i="6"/>
  <c r="R28" i="6"/>
  <c r="S28" i="6"/>
  <c r="T28" i="6"/>
  <c r="U28" i="6"/>
  <c r="R29" i="6"/>
  <c r="S29" i="6"/>
  <c r="T29" i="6"/>
  <c r="U29" i="6"/>
  <c r="R30" i="6"/>
  <c r="S30" i="6"/>
  <c r="T30" i="6"/>
  <c r="U30" i="6"/>
  <c r="R31" i="6"/>
  <c r="S31" i="6"/>
  <c r="T31" i="6"/>
  <c r="U31" i="6"/>
  <c r="R32" i="6"/>
  <c r="S32" i="6"/>
  <c r="T32" i="6"/>
  <c r="U32" i="6"/>
  <c r="R33" i="6"/>
  <c r="S33" i="6"/>
  <c r="T33" i="6"/>
  <c r="U33" i="6"/>
  <c r="R36" i="6"/>
  <c r="S36" i="6"/>
  <c r="T36" i="6"/>
  <c r="U36" i="6"/>
  <c r="R37" i="6"/>
  <c r="S37" i="6"/>
  <c r="T37" i="6"/>
  <c r="U37" i="6"/>
  <c r="R38" i="6"/>
  <c r="S38" i="6"/>
  <c r="T38" i="6"/>
  <c r="U38" i="6"/>
  <c r="R39" i="6"/>
  <c r="S39" i="6"/>
  <c r="T39" i="6"/>
  <c r="U39" i="6"/>
  <c r="R40" i="6"/>
  <c r="S40" i="6"/>
  <c r="T40" i="6"/>
  <c r="U40" i="6"/>
  <c r="R41" i="6"/>
  <c r="S41" i="6"/>
  <c r="T41" i="6"/>
  <c r="U41" i="6"/>
  <c r="R42" i="6"/>
  <c r="S42" i="6"/>
  <c r="T42" i="6"/>
  <c r="U42" i="6"/>
  <c r="R43" i="6"/>
  <c r="S43" i="6"/>
  <c r="T43" i="6"/>
  <c r="U43" i="6"/>
  <c r="R44" i="6"/>
  <c r="S44" i="6"/>
  <c r="T44" i="6"/>
  <c r="U44" i="6"/>
  <c r="R45" i="6"/>
  <c r="S45" i="6"/>
  <c r="T45" i="6"/>
  <c r="U45" i="6"/>
  <c r="R48" i="6"/>
  <c r="S48" i="6"/>
  <c r="T48" i="6"/>
  <c r="U48" i="6"/>
  <c r="R49" i="6"/>
  <c r="S49" i="6"/>
  <c r="T49" i="6"/>
  <c r="U49" i="6"/>
  <c r="R50" i="6"/>
  <c r="S50" i="6"/>
  <c r="T50" i="6"/>
  <c r="U50" i="6"/>
  <c r="R51" i="6"/>
  <c r="S51" i="6"/>
  <c r="T51" i="6"/>
  <c r="U51" i="6"/>
  <c r="R52" i="6"/>
  <c r="S52" i="6"/>
  <c r="T52" i="6"/>
  <c r="U52" i="6"/>
  <c r="R53" i="6"/>
  <c r="S53" i="6"/>
  <c r="T53" i="6"/>
  <c r="U53" i="6"/>
  <c r="S3" i="6"/>
  <c r="R3" i="6"/>
  <c r="U4" i="4"/>
  <c r="U5" i="4"/>
  <c r="U6" i="4"/>
  <c r="U7" i="4"/>
  <c r="U8" i="4"/>
  <c r="U9" i="4"/>
  <c r="U10" i="4"/>
  <c r="U11" i="4"/>
  <c r="U14" i="4"/>
  <c r="U15" i="4"/>
  <c r="U16" i="4"/>
  <c r="U17" i="4"/>
  <c r="U18" i="4"/>
  <c r="U19" i="4"/>
  <c r="U20" i="4"/>
  <c r="U23" i="4"/>
  <c r="U24" i="4"/>
  <c r="U25" i="4"/>
  <c r="U26" i="4"/>
  <c r="U27" i="4"/>
  <c r="U28" i="4"/>
  <c r="U31" i="4"/>
  <c r="U32" i="4"/>
  <c r="U33" i="4"/>
  <c r="U34" i="4"/>
  <c r="U35" i="4"/>
  <c r="U36" i="4"/>
  <c r="U39" i="4"/>
  <c r="U40" i="4"/>
  <c r="U41" i="4"/>
  <c r="U42" i="4"/>
  <c r="U43" i="4"/>
  <c r="U44" i="4"/>
  <c r="U45" i="4"/>
  <c r="U46" i="4"/>
  <c r="U47" i="4"/>
  <c r="U48" i="4"/>
  <c r="U51" i="4"/>
  <c r="U52" i="4"/>
  <c r="U53" i="4"/>
  <c r="U54" i="4"/>
  <c r="U55" i="4"/>
  <c r="U58" i="4"/>
  <c r="U59" i="4"/>
  <c r="U60" i="4"/>
  <c r="U61" i="4"/>
  <c r="U62" i="4"/>
  <c r="U65" i="4"/>
  <c r="U66" i="4"/>
  <c r="U67" i="4"/>
  <c r="U70" i="4"/>
  <c r="U71" i="4"/>
  <c r="U72" i="4"/>
  <c r="U73" i="4"/>
  <c r="U74" i="4"/>
  <c r="U75" i="4"/>
  <c r="U78" i="4"/>
  <c r="U79" i="4"/>
  <c r="U80" i="4"/>
  <c r="U81" i="4"/>
  <c r="U82" i="4"/>
  <c r="U83" i="4"/>
  <c r="U86" i="4"/>
  <c r="U87" i="4"/>
  <c r="U88" i="4"/>
  <c r="U89" i="4"/>
  <c r="U92" i="4"/>
  <c r="U93" i="4"/>
  <c r="U94" i="4"/>
  <c r="U95" i="4"/>
  <c r="U98" i="4"/>
  <c r="U99" i="4"/>
  <c r="U100" i="4"/>
  <c r="U101" i="4"/>
  <c r="U104" i="4"/>
  <c r="U105" i="4"/>
  <c r="U106" i="4"/>
  <c r="U107" i="4"/>
  <c r="U108" i="4"/>
  <c r="U109" i="4"/>
  <c r="U112" i="4"/>
  <c r="U113" i="4"/>
  <c r="U114" i="4"/>
  <c r="U115" i="4"/>
  <c r="U116" i="4"/>
  <c r="U117" i="4"/>
  <c r="U120" i="4"/>
  <c r="U121" i="4"/>
  <c r="U122" i="4"/>
  <c r="U123" i="4"/>
  <c r="U124" i="4"/>
  <c r="U127" i="4"/>
  <c r="U128" i="4"/>
  <c r="U129" i="4"/>
  <c r="U130" i="4"/>
  <c r="U131" i="4"/>
  <c r="U132" i="4"/>
  <c r="U135" i="4"/>
  <c r="U136" i="4"/>
  <c r="U137" i="4"/>
  <c r="U138" i="4"/>
  <c r="U139" i="4"/>
  <c r="U3" i="4"/>
  <c r="T4" i="4"/>
  <c r="T5" i="4"/>
  <c r="T6" i="4"/>
  <c r="T7" i="4"/>
  <c r="T8" i="4"/>
  <c r="T9" i="4"/>
  <c r="T10" i="4"/>
  <c r="T11" i="4"/>
  <c r="T14" i="4"/>
  <c r="T15" i="4"/>
  <c r="T16" i="4"/>
  <c r="T17" i="4"/>
  <c r="T18" i="4"/>
  <c r="T19" i="4"/>
  <c r="T20" i="4"/>
  <c r="T23" i="4"/>
  <c r="T24" i="4"/>
  <c r="T25" i="4"/>
  <c r="T26" i="4"/>
  <c r="T27" i="4"/>
  <c r="T28" i="4"/>
  <c r="T31" i="4"/>
  <c r="T32" i="4"/>
  <c r="T33" i="4"/>
  <c r="T34" i="4"/>
  <c r="T35" i="4"/>
  <c r="T36" i="4"/>
  <c r="T39" i="4"/>
  <c r="T40" i="4"/>
  <c r="T41" i="4"/>
  <c r="T42" i="4"/>
  <c r="T43" i="4"/>
  <c r="T44" i="4"/>
  <c r="T45" i="4"/>
  <c r="T46" i="4"/>
  <c r="T47" i="4"/>
  <c r="T48" i="4"/>
  <c r="T51" i="4"/>
  <c r="T52" i="4"/>
  <c r="T53" i="4"/>
  <c r="T54" i="4"/>
  <c r="T55" i="4"/>
  <c r="T58" i="4"/>
  <c r="T59" i="4"/>
  <c r="T60" i="4"/>
  <c r="T61" i="4"/>
  <c r="T62" i="4"/>
  <c r="T65" i="4"/>
  <c r="T66" i="4"/>
  <c r="T67" i="4"/>
  <c r="T70" i="4"/>
  <c r="T71" i="4"/>
  <c r="T72" i="4"/>
  <c r="T73" i="4"/>
  <c r="T74" i="4"/>
  <c r="T75" i="4"/>
  <c r="T78" i="4"/>
  <c r="T79" i="4"/>
  <c r="T80" i="4"/>
  <c r="T81" i="4"/>
  <c r="T82" i="4"/>
  <c r="T83" i="4"/>
  <c r="T86" i="4"/>
  <c r="T87" i="4"/>
  <c r="T88" i="4"/>
  <c r="T89" i="4"/>
  <c r="T92" i="4"/>
  <c r="T93" i="4"/>
  <c r="T94" i="4"/>
  <c r="T95" i="4"/>
  <c r="T98" i="4"/>
  <c r="T99" i="4"/>
  <c r="T100" i="4"/>
  <c r="T101" i="4"/>
  <c r="T104" i="4"/>
  <c r="T105" i="4"/>
  <c r="T106" i="4"/>
  <c r="T107" i="4"/>
  <c r="T108" i="4"/>
  <c r="T109" i="4"/>
  <c r="T112" i="4"/>
  <c r="T113" i="4"/>
  <c r="T114" i="4"/>
  <c r="T115" i="4"/>
  <c r="T116" i="4"/>
  <c r="T117" i="4"/>
  <c r="T120" i="4"/>
  <c r="T121" i="4"/>
  <c r="T122" i="4"/>
  <c r="T123" i="4"/>
  <c r="T124" i="4"/>
  <c r="T127" i="4"/>
  <c r="T128" i="4"/>
  <c r="T129" i="4"/>
  <c r="T130" i="4"/>
  <c r="T131" i="4"/>
  <c r="T132" i="4"/>
  <c r="T135" i="4"/>
  <c r="T136" i="4"/>
  <c r="T137" i="4"/>
  <c r="T138" i="4"/>
  <c r="T139" i="4"/>
  <c r="T3" i="4"/>
  <c r="S4" i="4"/>
  <c r="S5" i="4"/>
  <c r="S6" i="4"/>
  <c r="S7" i="4"/>
  <c r="S8" i="4"/>
  <c r="S9" i="4"/>
  <c r="S10" i="4"/>
  <c r="S11" i="4"/>
  <c r="S14" i="4"/>
  <c r="S15" i="4"/>
  <c r="S16" i="4"/>
  <c r="S17" i="4"/>
  <c r="S18" i="4"/>
  <c r="S19" i="4"/>
  <c r="S20" i="4"/>
  <c r="S23" i="4"/>
  <c r="S24" i="4"/>
  <c r="S25" i="4"/>
  <c r="S26" i="4"/>
  <c r="S27" i="4"/>
  <c r="S28" i="4"/>
  <c r="S31" i="4"/>
  <c r="S32" i="4"/>
  <c r="S33" i="4"/>
  <c r="S34" i="4"/>
  <c r="S35" i="4"/>
  <c r="S36" i="4"/>
  <c r="S39" i="4"/>
  <c r="S40" i="4"/>
  <c r="S41" i="4"/>
  <c r="S42" i="4"/>
  <c r="S43" i="4"/>
  <c r="S44" i="4"/>
  <c r="S45" i="4"/>
  <c r="S46" i="4"/>
  <c r="S47" i="4"/>
  <c r="S48" i="4"/>
  <c r="S51" i="4"/>
  <c r="S52" i="4"/>
  <c r="S53" i="4"/>
  <c r="S54" i="4"/>
  <c r="S55" i="4"/>
  <c r="S58" i="4"/>
  <c r="S59" i="4"/>
  <c r="S60" i="4"/>
  <c r="S61" i="4"/>
  <c r="S62" i="4"/>
  <c r="S65" i="4"/>
  <c r="S66" i="4"/>
  <c r="S67" i="4"/>
  <c r="S70" i="4"/>
  <c r="S71" i="4"/>
  <c r="S72" i="4"/>
  <c r="S73" i="4"/>
  <c r="S74" i="4"/>
  <c r="S75" i="4"/>
  <c r="S78" i="4"/>
  <c r="S79" i="4"/>
  <c r="S80" i="4"/>
  <c r="S81" i="4"/>
  <c r="S82" i="4"/>
  <c r="S83" i="4"/>
  <c r="S86" i="4"/>
  <c r="S87" i="4"/>
  <c r="S88" i="4"/>
  <c r="S89" i="4"/>
  <c r="S92" i="4"/>
  <c r="S93" i="4"/>
  <c r="S94" i="4"/>
  <c r="S95" i="4"/>
  <c r="S98" i="4"/>
  <c r="S99" i="4"/>
  <c r="S100" i="4"/>
  <c r="S101" i="4"/>
  <c r="S104" i="4"/>
  <c r="S105" i="4"/>
  <c r="S106" i="4"/>
  <c r="S107" i="4"/>
  <c r="S108" i="4"/>
  <c r="S109" i="4"/>
  <c r="S112" i="4"/>
  <c r="S113" i="4"/>
  <c r="S114" i="4"/>
  <c r="S115" i="4"/>
  <c r="S116" i="4"/>
  <c r="S117" i="4"/>
  <c r="S120" i="4"/>
  <c r="S121" i="4"/>
  <c r="S122" i="4"/>
  <c r="S123" i="4"/>
  <c r="S124" i="4"/>
  <c r="S127" i="4"/>
  <c r="S128" i="4"/>
  <c r="S129" i="4"/>
  <c r="S130" i="4"/>
  <c r="S131" i="4"/>
  <c r="S132" i="4"/>
  <c r="S135" i="4"/>
  <c r="S136" i="4"/>
  <c r="S137" i="4"/>
  <c r="S138" i="4"/>
  <c r="S139" i="4"/>
  <c r="S3" i="4"/>
  <c r="R4" i="4"/>
  <c r="R5" i="4"/>
  <c r="R6" i="4"/>
  <c r="R7" i="4"/>
  <c r="R8" i="4"/>
  <c r="R9" i="4"/>
  <c r="R10" i="4"/>
  <c r="R11" i="4"/>
  <c r="R14" i="4"/>
  <c r="R15" i="4"/>
  <c r="R16" i="4"/>
  <c r="R17" i="4"/>
  <c r="R18" i="4"/>
  <c r="R19" i="4"/>
  <c r="R20" i="4"/>
  <c r="R23" i="4"/>
  <c r="R24" i="4"/>
  <c r="R25" i="4"/>
  <c r="R26" i="4"/>
  <c r="R27" i="4"/>
  <c r="R28" i="4"/>
  <c r="R31" i="4"/>
  <c r="R32" i="4"/>
  <c r="R33" i="4"/>
  <c r="R34" i="4"/>
  <c r="R35" i="4"/>
  <c r="R36" i="4"/>
  <c r="R39" i="4"/>
  <c r="R40" i="4"/>
  <c r="R41" i="4"/>
  <c r="R42" i="4"/>
  <c r="R43" i="4"/>
  <c r="R44" i="4"/>
  <c r="R45" i="4"/>
  <c r="R46" i="4"/>
  <c r="R47" i="4"/>
  <c r="R48" i="4"/>
  <c r="R51" i="4"/>
  <c r="R52" i="4"/>
  <c r="R53" i="4"/>
  <c r="R54" i="4"/>
  <c r="R55" i="4"/>
  <c r="R58" i="4"/>
  <c r="R59" i="4"/>
  <c r="R60" i="4"/>
  <c r="R61" i="4"/>
  <c r="R62" i="4"/>
  <c r="R65" i="4"/>
  <c r="R66" i="4"/>
  <c r="R67" i="4"/>
  <c r="R70" i="4"/>
  <c r="R71" i="4"/>
  <c r="R72" i="4"/>
  <c r="R73" i="4"/>
  <c r="R74" i="4"/>
  <c r="R75" i="4"/>
  <c r="R78" i="4"/>
  <c r="R79" i="4"/>
  <c r="R80" i="4"/>
  <c r="R81" i="4"/>
  <c r="R82" i="4"/>
  <c r="R83" i="4"/>
  <c r="R86" i="4"/>
  <c r="R87" i="4"/>
  <c r="R88" i="4"/>
  <c r="R89" i="4"/>
  <c r="R92" i="4"/>
  <c r="R93" i="4"/>
  <c r="R94" i="4"/>
  <c r="R95" i="4"/>
  <c r="R98" i="4"/>
  <c r="R99" i="4"/>
  <c r="R100" i="4"/>
  <c r="R101" i="4"/>
  <c r="R104" i="4"/>
  <c r="R105" i="4"/>
  <c r="R106" i="4"/>
  <c r="R107" i="4"/>
  <c r="R108" i="4"/>
  <c r="R109" i="4"/>
  <c r="R112" i="4"/>
  <c r="R113" i="4"/>
  <c r="R114" i="4"/>
  <c r="R115" i="4"/>
  <c r="R116" i="4"/>
  <c r="R117" i="4"/>
  <c r="R120" i="4"/>
  <c r="R121" i="4"/>
  <c r="R122" i="4"/>
  <c r="R123" i="4"/>
  <c r="R124" i="4"/>
  <c r="R127" i="4"/>
  <c r="R128" i="4"/>
  <c r="R129" i="4"/>
  <c r="R130" i="4"/>
  <c r="R131" i="4"/>
  <c r="R132" i="4"/>
  <c r="R135" i="4"/>
  <c r="R136" i="4"/>
  <c r="R137" i="4"/>
  <c r="R138" i="4"/>
  <c r="R139" i="4"/>
  <c r="R3" i="4"/>
  <c r="Q4" i="10"/>
  <c r="Q5" i="10"/>
  <c r="Q6" i="10"/>
  <c r="Q7" i="10"/>
  <c r="Q8" i="10"/>
  <c r="Q9" i="10"/>
  <c r="Q10" i="10"/>
  <c r="Q11" i="10"/>
  <c r="Q14" i="10"/>
  <c r="Q15" i="10"/>
  <c r="Q16" i="10"/>
  <c r="Q17" i="10"/>
  <c r="Q18" i="10"/>
  <c r="Q19" i="10"/>
  <c r="Q20" i="10"/>
  <c r="Q23" i="10"/>
  <c r="Q24" i="10"/>
  <c r="Q25" i="10"/>
  <c r="Q26" i="10"/>
  <c r="Q27" i="10"/>
  <c r="Q28" i="10"/>
  <c r="Q31" i="10"/>
  <c r="Q32" i="10"/>
  <c r="Q33" i="10"/>
  <c r="Q34" i="10"/>
  <c r="Q35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4" i="10"/>
  <c r="Q55" i="10"/>
  <c r="Q56" i="10"/>
  <c r="Q57" i="10"/>
  <c r="Q58" i="10"/>
  <c r="Q59" i="10"/>
  <c r="Q60" i="10"/>
  <c r="Q63" i="10"/>
  <c r="Q64" i="10"/>
  <c r="Q65" i="10"/>
  <c r="Q66" i="10"/>
  <c r="Q67" i="10"/>
  <c r="Q68" i="10"/>
  <c r="Q69" i="10"/>
  <c r="Q72" i="10"/>
  <c r="Q73" i="10"/>
  <c r="Q74" i="10"/>
  <c r="Q75" i="10"/>
  <c r="Q76" i="10"/>
  <c r="Q79" i="10"/>
  <c r="Q80" i="10"/>
  <c r="Q81" i="10"/>
  <c r="Q82" i="10"/>
  <c r="Q83" i="10"/>
  <c r="Q84" i="10"/>
  <c r="Q85" i="10"/>
  <c r="Q86" i="10"/>
  <c r="Q89" i="10"/>
  <c r="Q90" i="10"/>
  <c r="Q91" i="10"/>
  <c r="Q92" i="10"/>
  <c r="Q93" i="10"/>
  <c r="Q96" i="10"/>
  <c r="Q97" i="10"/>
  <c r="Q98" i="10"/>
  <c r="Q99" i="10"/>
  <c r="Q100" i="10"/>
  <c r="Q101" i="10"/>
  <c r="Q104" i="10"/>
  <c r="Q105" i="10"/>
  <c r="Q106" i="10"/>
  <c r="Q109" i="10"/>
  <c r="Q110" i="10"/>
  <c r="Q111" i="10"/>
  <c r="Q112" i="10"/>
  <c r="Q113" i="10"/>
  <c r="Q116" i="10"/>
  <c r="Q117" i="10"/>
  <c r="Q118" i="10"/>
  <c r="Q119" i="10"/>
  <c r="Q120" i="10"/>
  <c r="Q121" i="10"/>
  <c r="Q124" i="10"/>
  <c r="Q125" i="10"/>
  <c r="Q126" i="10"/>
  <c r="Q127" i="10"/>
  <c r="Q128" i="10"/>
  <c r="Q129" i="10"/>
  <c r="Q132" i="10"/>
  <c r="Q133" i="10"/>
  <c r="Q134" i="10"/>
  <c r="Q135" i="10"/>
  <c r="Q136" i="10"/>
  <c r="Q139" i="10"/>
  <c r="Q140" i="10"/>
  <c r="Q141" i="10"/>
  <c r="Q142" i="10"/>
  <c r="Q145" i="10"/>
  <c r="Q146" i="10"/>
  <c r="Q147" i="10"/>
  <c r="Q148" i="10"/>
  <c r="Q149" i="10"/>
  <c r="Q150" i="10"/>
  <c r="J46" i="8"/>
  <c r="K46" i="8" s="1"/>
  <c r="F46" i="8"/>
  <c r="E46" i="8"/>
  <c r="J45" i="8"/>
  <c r="K45" i="8" s="1"/>
  <c r="F45" i="8"/>
  <c r="E45" i="8"/>
  <c r="J44" i="8"/>
  <c r="K44" i="8" s="1"/>
  <c r="F44" i="8"/>
  <c r="E44" i="8"/>
  <c r="J43" i="8"/>
  <c r="K43" i="8" s="1"/>
  <c r="F43" i="8"/>
  <c r="E43" i="8"/>
  <c r="J42" i="8"/>
  <c r="K42" i="8" s="1"/>
  <c r="F42" i="8"/>
  <c r="E42" i="8"/>
  <c r="J39" i="8"/>
  <c r="K39" i="8" s="1"/>
  <c r="F39" i="8"/>
  <c r="E39" i="8"/>
  <c r="J38" i="8"/>
  <c r="K38" i="8" s="1"/>
  <c r="F38" i="8"/>
  <c r="E38" i="8"/>
  <c r="J37" i="8"/>
  <c r="K37" i="8" s="1"/>
  <c r="F37" i="8"/>
  <c r="E37" i="8"/>
  <c r="J36" i="8"/>
  <c r="K36" i="8" s="1"/>
  <c r="F36" i="8"/>
  <c r="E36" i="8"/>
  <c r="J35" i="8"/>
  <c r="K35" i="8" s="1"/>
  <c r="F35" i="8"/>
  <c r="E35" i="8"/>
  <c r="J34" i="8"/>
  <c r="K34" i="8" s="1"/>
  <c r="F34" i="8"/>
  <c r="E34" i="8"/>
  <c r="J33" i="8"/>
  <c r="K33" i="8" s="1"/>
  <c r="F33" i="8"/>
  <c r="E33" i="8"/>
  <c r="J32" i="8"/>
  <c r="K32" i="8" s="1"/>
  <c r="F32" i="8"/>
  <c r="E32" i="8"/>
  <c r="J31" i="8"/>
  <c r="K31" i="8" s="1"/>
  <c r="F31" i="8"/>
  <c r="E31" i="8"/>
  <c r="J28" i="8"/>
  <c r="K28" i="8" s="1"/>
  <c r="F28" i="8"/>
  <c r="E28" i="8"/>
  <c r="J27" i="8"/>
  <c r="K27" i="8" s="1"/>
  <c r="F27" i="8"/>
  <c r="E27" i="8"/>
  <c r="J26" i="8"/>
  <c r="K26" i="8" s="1"/>
  <c r="F26" i="8"/>
  <c r="E26" i="8"/>
  <c r="J25" i="8"/>
  <c r="K25" i="8" s="1"/>
  <c r="F25" i="8"/>
  <c r="E25" i="8"/>
  <c r="J24" i="8"/>
  <c r="K24" i="8" s="1"/>
  <c r="F24" i="8"/>
  <c r="E24" i="8"/>
  <c r="J23" i="8"/>
  <c r="K23" i="8" s="1"/>
  <c r="F23" i="8"/>
  <c r="E23" i="8"/>
  <c r="J22" i="8"/>
  <c r="K22" i="8" s="1"/>
  <c r="F22" i="8"/>
  <c r="E22" i="8"/>
  <c r="J21" i="8"/>
  <c r="K21" i="8" s="1"/>
  <c r="F21" i="8"/>
  <c r="E21" i="8"/>
  <c r="J18" i="8"/>
  <c r="K18" i="8" s="1"/>
  <c r="F18" i="8"/>
  <c r="E18" i="8"/>
  <c r="J17" i="8"/>
  <c r="K17" i="8" s="1"/>
  <c r="F17" i="8"/>
  <c r="E17" i="8"/>
  <c r="J16" i="8"/>
  <c r="K16" i="8" s="1"/>
  <c r="F16" i="8"/>
  <c r="E16" i="8"/>
  <c r="J15" i="8"/>
  <c r="K15" i="8" s="1"/>
  <c r="F15" i="8"/>
  <c r="E15" i="8"/>
  <c r="J12" i="8"/>
  <c r="K12" i="8" s="1"/>
  <c r="F12" i="8"/>
  <c r="E12" i="8"/>
  <c r="J11" i="8"/>
  <c r="K11" i="8" s="1"/>
  <c r="F11" i="8"/>
  <c r="E11" i="8"/>
  <c r="J10" i="8"/>
  <c r="K10" i="8" s="1"/>
  <c r="F10" i="8"/>
  <c r="E10" i="8"/>
  <c r="J9" i="8"/>
  <c r="K9" i="8" s="1"/>
  <c r="F9" i="8"/>
  <c r="E9" i="8"/>
  <c r="J8" i="8"/>
  <c r="K8" i="8" s="1"/>
  <c r="F8" i="8"/>
  <c r="E8" i="8"/>
  <c r="J7" i="8"/>
  <c r="K7" i="8" s="1"/>
  <c r="F7" i="8"/>
  <c r="E7" i="8"/>
  <c r="J6" i="8"/>
  <c r="K6" i="8" s="1"/>
  <c r="F6" i="8"/>
  <c r="E6" i="8"/>
  <c r="J5" i="8"/>
  <c r="K5" i="8" s="1"/>
  <c r="F5" i="8"/>
  <c r="E5" i="8"/>
  <c r="J4" i="8"/>
  <c r="K4" i="8" s="1"/>
  <c r="F4" i="8"/>
  <c r="E4" i="8"/>
  <c r="J3" i="8"/>
  <c r="K3" i="8" s="1"/>
  <c r="F3" i="8"/>
  <c r="E3" i="8"/>
  <c r="M2" i="8"/>
  <c r="L2" i="8"/>
  <c r="J53" i="6"/>
  <c r="K53" i="6" s="1"/>
  <c r="F53" i="6"/>
  <c r="E53" i="6"/>
  <c r="J52" i="6"/>
  <c r="K52" i="6" s="1"/>
  <c r="F52" i="6"/>
  <c r="E52" i="6"/>
  <c r="J51" i="6"/>
  <c r="K51" i="6" s="1"/>
  <c r="F51" i="6"/>
  <c r="E51" i="6"/>
  <c r="J50" i="6"/>
  <c r="K50" i="6" s="1"/>
  <c r="F50" i="6"/>
  <c r="E50" i="6"/>
  <c r="J49" i="6"/>
  <c r="K49" i="6" s="1"/>
  <c r="F49" i="6"/>
  <c r="E49" i="6"/>
  <c r="J48" i="6"/>
  <c r="K48" i="6" s="1"/>
  <c r="F48" i="6"/>
  <c r="E48" i="6"/>
  <c r="J45" i="6"/>
  <c r="K45" i="6" s="1"/>
  <c r="F45" i="6"/>
  <c r="E45" i="6"/>
  <c r="J44" i="6"/>
  <c r="K44" i="6" s="1"/>
  <c r="F44" i="6"/>
  <c r="E44" i="6"/>
  <c r="J43" i="6"/>
  <c r="K43" i="6" s="1"/>
  <c r="F43" i="6"/>
  <c r="E43" i="6"/>
  <c r="J42" i="6"/>
  <c r="K42" i="6" s="1"/>
  <c r="F42" i="6"/>
  <c r="E42" i="6"/>
  <c r="J41" i="6"/>
  <c r="K41" i="6" s="1"/>
  <c r="F41" i="6"/>
  <c r="E41" i="6"/>
  <c r="J40" i="6"/>
  <c r="K40" i="6" s="1"/>
  <c r="F40" i="6"/>
  <c r="E40" i="6"/>
  <c r="J39" i="6"/>
  <c r="K39" i="6" s="1"/>
  <c r="F39" i="6"/>
  <c r="E39" i="6"/>
  <c r="J38" i="6"/>
  <c r="K38" i="6" s="1"/>
  <c r="F38" i="6"/>
  <c r="E38" i="6"/>
  <c r="J37" i="6"/>
  <c r="K37" i="6" s="1"/>
  <c r="F37" i="6"/>
  <c r="E37" i="6"/>
  <c r="J36" i="6"/>
  <c r="K36" i="6" s="1"/>
  <c r="F36" i="6"/>
  <c r="E36" i="6"/>
  <c r="J35" i="6"/>
  <c r="K35" i="6" s="1"/>
  <c r="J34" i="6"/>
  <c r="K34" i="6" s="1"/>
  <c r="J33" i="6"/>
  <c r="K33" i="6" s="1"/>
  <c r="F33" i="6"/>
  <c r="E33" i="6"/>
  <c r="J32" i="6"/>
  <c r="K32" i="6" s="1"/>
  <c r="F32" i="6"/>
  <c r="E32" i="6"/>
  <c r="J31" i="6"/>
  <c r="K31" i="6" s="1"/>
  <c r="F31" i="6"/>
  <c r="E31" i="6"/>
  <c r="J30" i="6"/>
  <c r="K30" i="6" s="1"/>
  <c r="F30" i="6"/>
  <c r="E30" i="6"/>
  <c r="J29" i="6"/>
  <c r="K29" i="6" s="1"/>
  <c r="F29" i="6"/>
  <c r="E29" i="6"/>
  <c r="J28" i="6"/>
  <c r="K28" i="6" s="1"/>
  <c r="F28" i="6"/>
  <c r="E28" i="6"/>
  <c r="J25" i="6"/>
  <c r="K25" i="6" s="1"/>
  <c r="F25" i="6"/>
  <c r="E25" i="6"/>
  <c r="J24" i="6"/>
  <c r="K24" i="6" s="1"/>
  <c r="F24" i="6"/>
  <c r="E24" i="6"/>
  <c r="J23" i="6"/>
  <c r="K23" i="6" s="1"/>
  <c r="F23" i="6"/>
  <c r="E23" i="6"/>
  <c r="J22" i="6"/>
  <c r="K22" i="6" s="1"/>
  <c r="F22" i="6"/>
  <c r="E22" i="6"/>
  <c r="J21" i="6"/>
  <c r="K21" i="6" s="1"/>
  <c r="F21" i="6"/>
  <c r="E21" i="6"/>
  <c r="J20" i="6"/>
  <c r="K20" i="6" s="1"/>
  <c r="F20" i="6"/>
  <c r="E20" i="6"/>
  <c r="J19" i="6"/>
  <c r="K19" i="6" s="1"/>
  <c r="F19" i="6"/>
  <c r="E19" i="6"/>
  <c r="J18" i="6"/>
  <c r="K18" i="6" s="1"/>
  <c r="F18" i="6"/>
  <c r="E18" i="6"/>
  <c r="J17" i="6"/>
  <c r="K17" i="6" s="1"/>
  <c r="F17" i="6"/>
  <c r="E17" i="6"/>
  <c r="J16" i="6"/>
  <c r="K16" i="6" s="1"/>
  <c r="F16" i="6"/>
  <c r="E16" i="6"/>
  <c r="J13" i="6"/>
  <c r="K13" i="6" s="1"/>
  <c r="F13" i="6"/>
  <c r="E13" i="6"/>
  <c r="J12" i="6"/>
  <c r="K12" i="6" s="1"/>
  <c r="F12" i="6"/>
  <c r="E12" i="6"/>
  <c r="J11" i="6"/>
  <c r="K11" i="6" s="1"/>
  <c r="F11" i="6"/>
  <c r="E11" i="6"/>
  <c r="J10" i="6"/>
  <c r="K10" i="6" s="1"/>
  <c r="F10" i="6"/>
  <c r="E10" i="6"/>
  <c r="J9" i="6"/>
  <c r="K9" i="6" s="1"/>
  <c r="F9" i="6"/>
  <c r="E9" i="6"/>
  <c r="J8" i="6"/>
  <c r="K8" i="6" s="1"/>
  <c r="F8" i="6"/>
  <c r="E8" i="6"/>
  <c r="J7" i="6"/>
  <c r="K7" i="6" s="1"/>
  <c r="F7" i="6"/>
  <c r="E7" i="6"/>
  <c r="J6" i="6"/>
  <c r="K6" i="6" s="1"/>
  <c r="F6" i="6"/>
  <c r="E6" i="6"/>
  <c r="J5" i="6"/>
  <c r="K5" i="6" s="1"/>
  <c r="F5" i="6"/>
  <c r="E5" i="6"/>
  <c r="J4" i="6"/>
  <c r="K4" i="6" s="1"/>
  <c r="F4" i="6"/>
  <c r="E4" i="6"/>
  <c r="J3" i="6"/>
  <c r="K3" i="6" s="1"/>
  <c r="F3" i="6"/>
  <c r="E3" i="6"/>
  <c r="M2" i="6"/>
  <c r="L2" i="6"/>
  <c r="J139" i="4"/>
  <c r="K139" i="4" s="1"/>
  <c r="F139" i="4"/>
  <c r="E139" i="4"/>
  <c r="J138" i="4"/>
  <c r="K138" i="4" s="1"/>
  <c r="F138" i="4"/>
  <c r="E138" i="4"/>
  <c r="J137" i="4"/>
  <c r="K137" i="4" s="1"/>
  <c r="F137" i="4"/>
  <c r="E137" i="4"/>
  <c r="J136" i="4"/>
  <c r="K136" i="4" s="1"/>
  <c r="F136" i="4"/>
  <c r="E136" i="4"/>
  <c r="J135" i="4"/>
  <c r="K135" i="4" s="1"/>
  <c r="F135" i="4"/>
  <c r="E135" i="4"/>
  <c r="J132" i="4"/>
  <c r="K132" i="4" s="1"/>
  <c r="F132" i="4"/>
  <c r="E132" i="4"/>
  <c r="J131" i="4"/>
  <c r="K131" i="4" s="1"/>
  <c r="F131" i="4"/>
  <c r="E131" i="4"/>
  <c r="J130" i="4"/>
  <c r="K130" i="4" s="1"/>
  <c r="F130" i="4"/>
  <c r="E130" i="4"/>
  <c r="J129" i="4"/>
  <c r="K129" i="4" s="1"/>
  <c r="F129" i="4"/>
  <c r="E129" i="4"/>
  <c r="J128" i="4"/>
  <c r="K128" i="4" s="1"/>
  <c r="F128" i="4"/>
  <c r="E128" i="4"/>
  <c r="J127" i="4"/>
  <c r="K127" i="4" s="1"/>
  <c r="F127" i="4"/>
  <c r="E127" i="4"/>
  <c r="J124" i="4"/>
  <c r="K124" i="4" s="1"/>
  <c r="F124" i="4"/>
  <c r="E124" i="4"/>
  <c r="J123" i="4"/>
  <c r="K123" i="4" s="1"/>
  <c r="F123" i="4"/>
  <c r="E123" i="4"/>
  <c r="J122" i="4"/>
  <c r="K122" i="4" s="1"/>
  <c r="F122" i="4"/>
  <c r="E122" i="4"/>
  <c r="J121" i="4"/>
  <c r="K121" i="4" s="1"/>
  <c r="F121" i="4"/>
  <c r="E121" i="4"/>
  <c r="J120" i="4"/>
  <c r="K120" i="4" s="1"/>
  <c r="F120" i="4"/>
  <c r="E120" i="4"/>
  <c r="J117" i="4"/>
  <c r="K117" i="4" s="1"/>
  <c r="F117" i="4"/>
  <c r="E117" i="4"/>
  <c r="J116" i="4"/>
  <c r="K116" i="4" s="1"/>
  <c r="F116" i="4"/>
  <c r="E116" i="4"/>
  <c r="J115" i="4"/>
  <c r="K115" i="4" s="1"/>
  <c r="F115" i="4"/>
  <c r="E115" i="4"/>
  <c r="J114" i="4"/>
  <c r="K114" i="4" s="1"/>
  <c r="F114" i="4"/>
  <c r="E114" i="4"/>
  <c r="J113" i="4"/>
  <c r="K113" i="4" s="1"/>
  <c r="F113" i="4"/>
  <c r="E113" i="4"/>
  <c r="J112" i="4"/>
  <c r="K112" i="4" s="1"/>
  <c r="F112" i="4"/>
  <c r="E112" i="4"/>
  <c r="J109" i="4"/>
  <c r="K109" i="4" s="1"/>
  <c r="F109" i="4"/>
  <c r="E109" i="4"/>
  <c r="J108" i="4"/>
  <c r="K108" i="4" s="1"/>
  <c r="F108" i="4"/>
  <c r="E108" i="4"/>
  <c r="J107" i="4"/>
  <c r="K107" i="4" s="1"/>
  <c r="F107" i="4"/>
  <c r="E107" i="4"/>
  <c r="J106" i="4"/>
  <c r="K106" i="4" s="1"/>
  <c r="F106" i="4"/>
  <c r="E106" i="4"/>
  <c r="J105" i="4"/>
  <c r="K105" i="4" s="1"/>
  <c r="F105" i="4"/>
  <c r="E105" i="4"/>
  <c r="J104" i="4"/>
  <c r="K104" i="4" s="1"/>
  <c r="F104" i="4"/>
  <c r="E104" i="4"/>
  <c r="J101" i="4"/>
  <c r="K101" i="4" s="1"/>
  <c r="F101" i="4"/>
  <c r="E101" i="4"/>
  <c r="J100" i="4"/>
  <c r="K100" i="4" s="1"/>
  <c r="F100" i="4"/>
  <c r="E100" i="4"/>
  <c r="J99" i="4"/>
  <c r="K99" i="4" s="1"/>
  <c r="F99" i="4"/>
  <c r="E99" i="4"/>
  <c r="J98" i="4"/>
  <c r="K98" i="4" s="1"/>
  <c r="F98" i="4"/>
  <c r="E98" i="4"/>
  <c r="J95" i="4"/>
  <c r="K95" i="4" s="1"/>
  <c r="F95" i="4"/>
  <c r="E95" i="4"/>
  <c r="J94" i="4"/>
  <c r="K94" i="4" s="1"/>
  <c r="F94" i="4"/>
  <c r="E94" i="4"/>
  <c r="J93" i="4"/>
  <c r="K93" i="4" s="1"/>
  <c r="F93" i="4"/>
  <c r="E93" i="4"/>
  <c r="J92" i="4"/>
  <c r="K92" i="4" s="1"/>
  <c r="F92" i="4"/>
  <c r="E92" i="4"/>
  <c r="J89" i="4"/>
  <c r="K89" i="4" s="1"/>
  <c r="F89" i="4"/>
  <c r="E89" i="4"/>
  <c r="J88" i="4"/>
  <c r="K88" i="4" s="1"/>
  <c r="F88" i="4"/>
  <c r="E88" i="4"/>
  <c r="J87" i="4"/>
  <c r="K87" i="4" s="1"/>
  <c r="F87" i="4"/>
  <c r="E87" i="4"/>
  <c r="J86" i="4"/>
  <c r="K86" i="4" s="1"/>
  <c r="F86" i="4"/>
  <c r="E86" i="4"/>
  <c r="J83" i="4"/>
  <c r="K83" i="4" s="1"/>
  <c r="F83" i="4"/>
  <c r="E83" i="4"/>
  <c r="J82" i="4"/>
  <c r="K82" i="4" s="1"/>
  <c r="F82" i="4"/>
  <c r="E82" i="4"/>
  <c r="J81" i="4"/>
  <c r="K81" i="4" s="1"/>
  <c r="F81" i="4"/>
  <c r="E81" i="4"/>
  <c r="J80" i="4"/>
  <c r="K80" i="4" s="1"/>
  <c r="F80" i="4"/>
  <c r="E80" i="4"/>
  <c r="J79" i="4"/>
  <c r="K79" i="4" s="1"/>
  <c r="F79" i="4"/>
  <c r="E79" i="4"/>
  <c r="J78" i="4"/>
  <c r="K78" i="4" s="1"/>
  <c r="F78" i="4"/>
  <c r="E78" i="4"/>
  <c r="J75" i="4"/>
  <c r="K75" i="4" s="1"/>
  <c r="F75" i="4"/>
  <c r="E75" i="4"/>
  <c r="J74" i="4"/>
  <c r="K74" i="4" s="1"/>
  <c r="F74" i="4"/>
  <c r="E74" i="4"/>
  <c r="J73" i="4"/>
  <c r="K73" i="4" s="1"/>
  <c r="F73" i="4"/>
  <c r="E73" i="4"/>
  <c r="J72" i="4"/>
  <c r="K72" i="4" s="1"/>
  <c r="F72" i="4"/>
  <c r="E72" i="4"/>
  <c r="J71" i="4"/>
  <c r="K71" i="4" s="1"/>
  <c r="F71" i="4"/>
  <c r="E71" i="4"/>
  <c r="J70" i="4"/>
  <c r="K70" i="4" s="1"/>
  <c r="F70" i="4"/>
  <c r="E70" i="4"/>
  <c r="J67" i="4"/>
  <c r="K67" i="4" s="1"/>
  <c r="F67" i="4"/>
  <c r="E67" i="4"/>
  <c r="J66" i="4"/>
  <c r="K66" i="4" s="1"/>
  <c r="F66" i="4"/>
  <c r="E66" i="4"/>
  <c r="J65" i="4"/>
  <c r="K65" i="4" s="1"/>
  <c r="F65" i="4"/>
  <c r="E65" i="4"/>
  <c r="J62" i="4"/>
  <c r="K62" i="4" s="1"/>
  <c r="F62" i="4"/>
  <c r="E62" i="4"/>
  <c r="J61" i="4"/>
  <c r="K61" i="4" s="1"/>
  <c r="F61" i="4"/>
  <c r="E61" i="4"/>
  <c r="J60" i="4"/>
  <c r="K60" i="4" s="1"/>
  <c r="F60" i="4"/>
  <c r="E60" i="4"/>
  <c r="J59" i="4"/>
  <c r="K59" i="4" s="1"/>
  <c r="F59" i="4"/>
  <c r="E59" i="4"/>
  <c r="J58" i="4"/>
  <c r="K58" i="4" s="1"/>
  <c r="F58" i="4"/>
  <c r="E58" i="4"/>
  <c r="J55" i="4"/>
  <c r="K55" i="4" s="1"/>
  <c r="F55" i="4"/>
  <c r="E55" i="4"/>
  <c r="J54" i="4"/>
  <c r="K54" i="4" s="1"/>
  <c r="F54" i="4"/>
  <c r="E54" i="4"/>
  <c r="J53" i="4"/>
  <c r="K53" i="4" s="1"/>
  <c r="F53" i="4"/>
  <c r="E53" i="4"/>
  <c r="J52" i="4"/>
  <c r="K52" i="4" s="1"/>
  <c r="F52" i="4"/>
  <c r="E52" i="4"/>
  <c r="J51" i="4"/>
  <c r="K51" i="4" s="1"/>
  <c r="F51" i="4"/>
  <c r="E51" i="4"/>
  <c r="J48" i="4"/>
  <c r="K48" i="4" s="1"/>
  <c r="F48" i="4"/>
  <c r="E48" i="4"/>
  <c r="J47" i="4"/>
  <c r="K47" i="4" s="1"/>
  <c r="F47" i="4"/>
  <c r="E47" i="4"/>
  <c r="J46" i="4"/>
  <c r="K46" i="4" s="1"/>
  <c r="F46" i="4"/>
  <c r="E46" i="4"/>
  <c r="J45" i="4"/>
  <c r="K45" i="4" s="1"/>
  <c r="F45" i="4"/>
  <c r="E45" i="4"/>
  <c r="J44" i="4"/>
  <c r="K44" i="4" s="1"/>
  <c r="F44" i="4"/>
  <c r="E44" i="4"/>
  <c r="J43" i="4"/>
  <c r="K43" i="4" s="1"/>
  <c r="F43" i="4"/>
  <c r="E43" i="4"/>
  <c r="J42" i="4"/>
  <c r="K42" i="4" s="1"/>
  <c r="F42" i="4"/>
  <c r="E42" i="4"/>
  <c r="J41" i="4"/>
  <c r="K41" i="4" s="1"/>
  <c r="F41" i="4"/>
  <c r="E41" i="4"/>
  <c r="J40" i="4"/>
  <c r="K40" i="4" s="1"/>
  <c r="F40" i="4"/>
  <c r="E40" i="4"/>
  <c r="J39" i="4"/>
  <c r="K39" i="4" s="1"/>
  <c r="F39" i="4"/>
  <c r="E39" i="4"/>
  <c r="J36" i="4"/>
  <c r="K36" i="4" s="1"/>
  <c r="F36" i="4"/>
  <c r="E36" i="4"/>
  <c r="J35" i="4"/>
  <c r="K35" i="4" s="1"/>
  <c r="F35" i="4"/>
  <c r="E35" i="4"/>
  <c r="J34" i="4"/>
  <c r="K34" i="4" s="1"/>
  <c r="F34" i="4"/>
  <c r="E34" i="4"/>
  <c r="J33" i="4"/>
  <c r="K33" i="4" s="1"/>
  <c r="F33" i="4"/>
  <c r="E33" i="4"/>
  <c r="J32" i="4"/>
  <c r="K32" i="4" s="1"/>
  <c r="F32" i="4"/>
  <c r="E32" i="4"/>
  <c r="J31" i="4"/>
  <c r="K31" i="4" s="1"/>
  <c r="F31" i="4"/>
  <c r="E31" i="4"/>
  <c r="J28" i="4"/>
  <c r="K28" i="4" s="1"/>
  <c r="F28" i="4"/>
  <c r="E28" i="4"/>
  <c r="J27" i="4"/>
  <c r="K27" i="4" s="1"/>
  <c r="F27" i="4"/>
  <c r="E27" i="4"/>
  <c r="J26" i="4"/>
  <c r="K26" i="4" s="1"/>
  <c r="F26" i="4"/>
  <c r="E26" i="4"/>
  <c r="J25" i="4"/>
  <c r="K25" i="4" s="1"/>
  <c r="F25" i="4"/>
  <c r="E25" i="4"/>
  <c r="J24" i="4"/>
  <c r="K24" i="4" s="1"/>
  <c r="F24" i="4"/>
  <c r="E24" i="4"/>
  <c r="J23" i="4"/>
  <c r="K23" i="4" s="1"/>
  <c r="F23" i="4"/>
  <c r="E23" i="4"/>
  <c r="J20" i="4"/>
  <c r="K20" i="4" s="1"/>
  <c r="F20" i="4"/>
  <c r="E20" i="4"/>
  <c r="J19" i="4"/>
  <c r="K19" i="4" s="1"/>
  <c r="F19" i="4"/>
  <c r="E19" i="4"/>
  <c r="J18" i="4"/>
  <c r="K18" i="4" s="1"/>
  <c r="F18" i="4"/>
  <c r="E18" i="4"/>
  <c r="J17" i="4"/>
  <c r="K17" i="4" s="1"/>
  <c r="F17" i="4"/>
  <c r="E17" i="4"/>
  <c r="J16" i="4"/>
  <c r="K16" i="4" s="1"/>
  <c r="F16" i="4"/>
  <c r="E16" i="4"/>
  <c r="J15" i="4"/>
  <c r="K15" i="4" s="1"/>
  <c r="F15" i="4"/>
  <c r="E15" i="4"/>
  <c r="J14" i="4"/>
  <c r="K14" i="4" s="1"/>
  <c r="F14" i="4"/>
  <c r="E14" i="4"/>
  <c r="J11" i="4"/>
  <c r="K11" i="4" s="1"/>
  <c r="F11" i="4"/>
  <c r="E11" i="4"/>
  <c r="J10" i="4"/>
  <c r="K10" i="4" s="1"/>
  <c r="F10" i="4"/>
  <c r="E10" i="4"/>
  <c r="J9" i="4"/>
  <c r="K9" i="4" s="1"/>
  <c r="F9" i="4"/>
  <c r="E9" i="4"/>
  <c r="J8" i="4"/>
  <c r="K8" i="4" s="1"/>
  <c r="F8" i="4"/>
  <c r="E8" i="4"/>
  <c r="J7" i="4"/>
  <c r="K7" i="4" s="1"/>
  <c r="F7" i="4"/>
  <c r="E7" i="4"/>
  <c r="J6" i="4"/>
  <c r="K6" i="4" s="1"/>
  <c r="F6" i="4"/>
  <c r="E6" i="4"/>
  <c r="J5" i="4"/>
  <c r="K5" i="4" s="1"/>
  <c r="F5" i="4"/>
  <c r="E5" i="4"/>
  <c r="J4" i="4"/>
  <c r="K4" i="4" s="1"/>
  <c r="F4" i="4"/>
  <c r="E4" i="4"/>
  <c r="J3" i="4"/>
  <c r="K3" i="4" s="1"/>
  <c r="F3" i="4"/>
  <c r="E3" i="4"/>
  <c r="M2" i="4"/>
  <c r="L2" i="4"/>
  <c r="J150" i="10"/>
  <c r="K150" i="10" s="1"/>
  <c r="F150" i="10"/>
  <c r="E150" i="10"/>
  <c r="J149" i="10"/>
  <c r="K149" i="10" s="1"/>
  <c r="F149" i="10"/>
  <c r="E149" i="10"/>
  <c r="J148" i="10"/>
  <c r="K148" i="10" s="1"/>
  <c r="F148" i="10"/>
  <c r="E148" i="10"/>
  <c r="J147" i="10"/>
  <c r="K147" i="10" s="1"/>
  <c r="F147" i="10"/>
  <c r="E147" i="10"/>
  <c r="J146" i="10"/>
  <c r="K146" i="10" s="1"/>
  <c r="F146" i="10"/>
  <c r="E146" i="10"/>
  <c r="J145" i="10"/>
  <c r="K145" i="10" s="1"/>
  <c r="F145" i="10"/>
  <c r="E145" i="10"/>
  <c r="J142" i="10"/>
  <c r="K142" i="10" s="1"/>
  <c r="F142" i="10"/>
  <c r="E142" i="10"/>
  <c r="J141" i="10"/>
  <c r="K141" i="10" s="1"/>
  <c r="F141" i="10"/>
  <c r="E141" i="10"/>
  <c r="J140" i="10"/>
  <c r="K140" i="10" s="1"/>
  <c r="F140" i="10"/>
  <c r="E140" i="10"/>
  <c r="J139" i="10"/>
  <c r="K139" i="10" s="1"/>
  <c r="F139" i="10"/>
  <c r="E139" i="10"/>
  <c r="J136" i="10"/>
  <c r="K136" i="10" s="1"/>
  <c r="F136" i="10"/>
  <c r="E136" i="10"/>
  <c r="J135" i="10"/>
  <c r="K135" i="10" s="1"/>
  <c r="F135" i="10"/>
  <c r="E135" i="10"/>
  <c r="J134" i="10"/>
  <c r="K134" i="10" s="1"/>
  <c r="F134" i="10"/>
  <c r="E134" i="10"/>
  <c r="J133" i="10"/>
  <c r="K133" i="10" s="1"/>
  <c r="F133" i="10"/>
  <c r="E133" i="10"/>
  <c r="J132" i="10"/>
  <c r="K132" i="10" s="1"/>
  <c r="F132" i="10"/>
  <c r="E132" i="10"/>
  <c r="J129" i="10"/>
  <c r="K129" i="10" s="1"/>
  <c r="F129" i="10"/>
  <c r="E129" i="10"/>
  <c r="J128" i="10"/>
  <c r="K128" i="10" s="1"/>
  <c r="F128" i="10"/>
  <c r="E128" i="10"/>
  <c r="J127" i="10"/>
  <c r="K127" i="10" s="1"/>
  <c r="F127" i="10"/>
  <c r="E127" i="10"/>
  <c r="J126" i="10"/>
  <c r="K126" i="10" s="1"/>
  <c r="F126" i="10"/>
  <c r="E126" i="10"/>
  <c r="J125" i="10"/>
  <c r="K125" i="10" s="1"/>
  <c r="F125" i="10"/>
  <c r="E125" i="10"/>
  <c r="J124" i="10"/>
  <c r="K124" i="10" s="1"/>
  <c r="F124" i="10"/>
  <c r="E124" i="10"/>
  <c r="J121" i="10"/>
  <c r="K121" i="10" s="1"/>
  <c r="F121" i="10"/>
  <c r="E121" i="10"/>
  <c r="J120" i="10"/>
  <c r="K120" i="10" s="1"/>
  <c r="F120" i="10"/>
  <c r="E120" i="10"/>
  <c r="J119" i="10"/>
  <c r="K119" i="10" s="1"/>
  <c r="F119" i="10"/>
  <c r="E119" i="10"/>
  <c r="J118" i="10"/>
  <c r="K118" i="10" s="1"/>
  <c r="F118" i="10"/>
  <c r="E118" i="10"/>
  <c r="J117" i="10"/>
  <c r="K117" i="10" s="1"/>
  <c r="F117" i="10"/>
  <c r="E117" i="10"/>
  <c r="J116" i="10"/>
  <c r="K116" i="10" s="1"/>
  <c r="F116" i="10"/>
  <c r="E116" i="10"/>
  <c r="J113" i="10"/>
  <c r="K113" i="10" s="1"/>
  <c r="F113" i="10"/>
  <c r="E113" i="10"/>
  <c r="J112" i="10"/>
  <c r="K112" i="10" s="1"/>
  <c r="F112" i="10"/>
  <c r="E112" i="10"/>
  <c r="J111" i="10"/>
  <c r="K111" i="10" s="1"/>
  <c r="F111" i="10"/>
  <c r="E111" i="10"/>
  <c r="J110" i="10"/>
  <c r="K110" i="10" s="1"/>
  <c r="F110" i="10"/>
  <c r="E110" i="10"/>
  <c r="J109" i="10"/>
  <c r="K109" i="10" s="1"/>
  <c r="F109" i="10"/>
  <c r="E109" i="10"/>
  <c r="J106" i="10"/>
  <c r="K106" i="10" s="1"/>
  <c r="F106" i="10"/>
  <c r="E106" i="10"/>
  <c r="J105" i="10"/>
  <c r="K105" i="10" s="1"/>
  <c r="F105" i="10"/>
  <c r="E105" i="10"/>
  <c r="J104" i="10"/>
  <c r="K104" i="10" s="1"/>
  <c r="F104" i="10"/>
  <c r="E104" i="10"/>
  <c r="J101" i="10"/>
  <c r="K101" i="10" s="1"/>
  <c r="F101" i="10"/>
  <c r="E101" i="10"/>
  <c r="J100" i="10"/>
  <c r="K100" i="10" s="1"/>
  <c r="F100" i="10"/>
  <c r="E100" i="10"/>
  <c r="J99" i="10"/>
  <c r="K99" i="10" s="1"/>
  <c r="F99" i="10"/>
  <c r="E99" i="10"/>
  <c r="J98" i="10"/>
  <c r="K98" i="10" s="1"/>
  <c r="F98" i="10"/>
  <c r="E98" i="10"/>
  <c r="J97" i="10"/>
  <c r="K97" i="10" s="1"/>
  <c r="F97" i="10"/>
  <c r="E97" i="10"/>
  <c r="J96" i="10"/>
  <c r="K96" i="10" s="1"/>
  <c r="F96" i="10"/>
  <c r="E96" i="10"/>
  <c r="J93" i="10"/>
  <c r="K93" i="10" s="1"/>
  <c r="F93" i="10"/>
  <c r="E93" i="10"/>
  <c r="J92" i="10"/>
  <c r="K92" i="10" s="1"/>
  <c r="F92" i="10"/>
  <c r="E92" i="10"/>
  <c r="J91" i="10"/>
  <c r="K91" i="10" s="1"/>
  <c r="F91" i="10"/>
  <c r="E91" i="10"/>
  <c r="J90" i="10"/>
  <c r="K90" i="10" s="1"/>
  <c r="F90" i="10"/>
  <c r="E90" i="10"/>
  <c r="J89" i="10"/>
  <c r="K89" i="10" s="1"/>
  <c r="F89" i="10"/>
  <c r="E89" i="10"/>
  <c r="J86" i="10"/>
  <c r="K86" i="10" s="1"/>
  <c r="F86" i="10"/>
  <c r="E86" i="10"/>
  <c r="J85" i="10"/>
  <c r="K85" i="10" s="1"/>
  <c r="F85" i="10"/>
  <c r="E85" i="10"/>
  <c r="J84" i="10"/>
  <c r="K84" i="10" s="1"/>
  <c r="F84" i="10"/>
  <c r="E84" i="10"/>
  <c r="J83" i="10"/>
  <c r="K83" i="10" s="1"/>
  <c r="F83" i="10"/>
  <c r="E83" i="10"/>
  <c r="J82" i="10"/>
  <c r="K82" i="10" s="1"/>
  <c r="F82" i="10"/>
  <c r="E82" i="10"/>
  <c r="J81" i="10"/>
  <c r="K81" i="10" s="1"/>
  <c r="F81" i="10"/>
  <c r="E81" i="10"/>
  <c r="J80" i="10"/>
  <c r="K80" i="10" s="1"/>
  <c r="F80" i="10"/>
  <c r="E80" i="10"/>
  <c r="J79" i="10"/>
  <c r="K79" i="10" s="1"/>
  <c r="F79" i="10"/>
  <c r="E79" i="10"/>
  <c r="J76" i="10"/>
  <c r="K76" i="10" s="1"/>
  <c r="F76" i="10"/>
  <c r="E76" i="10"/>
  <c r="J75" i="10"/>
  <c r="K75" i="10" s="1"/>
  <c r="F75" i="10"/>
  <c r="E75" i="10"/>
  <c r="J74" i="10"/>
  <c r="K74" i="10" s="1"/>
  <c r="F74" i="10"/>
  <c r="E74" i="10"/>
  <c r="J73" i="10"/>
  <c r="K73" i="10" s="1"/>
  <c r="F73" i="10"/>
  <c r="E73" i="10"/>
  <c r="J72" i="10"/>
  <c r="K72" i="10" s="1"/>
  <c r="F72" i="10"/>
  <c r="E72" i="10"/>
  <c r="J69" i="10"/>
  <c r="K69" i="10" s="1"/>
  <c r="F69" i="10"/>
  <c r="E69" i="10"/>
  <c r="J68" i="10"/>
  <c r="K68" i="10" s="1"/>
  <c r="F68" i="10"/>
  <c r="E68" i="10"/>
  <c r="J67" i="10"/>
  <c r="K67" i="10" s="1"/>
  <c r="F67" i="10"/>
  <c r="E67" i="10"/>
  <c r="J66" i="10"/>
  <c r="K66" i="10" s="1"/>
  <c r="F66" i="10"/>
  <c r="E66" i="10"/>
  <c r="J65" i="10"/>
  <c r="K65" i="10" s="1"/>
  <c r="F65" i="10"/>
  <c r="E65" i="10"/>
  <c r="J64" i="10"/>
  <c r="K64" i="10" s="1"/>
  <c r="F64" i="10"/>
  <c r="E64" i="10"/>
  <c r="J63" i="10"/>
  <c r="K63" i="10" s="1"/>
  <c r="F63" i="10"/>
  <c r="E63" i="10"/>
  <c r="J60" i="10"/>
  <c r="K60" i="10" s="1"/>
  <c r="F60" i="10"/>
  <c r="E60" i="10"/>
  <c r="J59" i="10"/>
  <c r="K59" i="10" s="1"/>
  <c r="F59" i="10"/>
  <c r="E59" i="10"/>
  <c r="J58" i="10"/>
  <c r="K58" i="10" s="1"/>
  <c r="F58" i="10"/>
  <c r="E58" i="10"/>
  <c r="J57" i="10"/>
  <c r="K57" i="10" s="1"/>
  <c r="F57" i="10"/>
  <c r="E57" i="10"/>
  <c r="J56" i="10"/>
  <c r="K56" i="10" s="1"/>
  <c r="F56" i="10"/>
  <c r="E56" i="10"/>
  <c r="J55" i="10"/>
  <c r="K55" i="10" s="1"/>
  <c r="F55" i="10"/>
  <c r="E55" i="10"/>
  <c r="J54" i="10"/>
  <c r="K54" i="10" s="1"/>
  <c r="F54" i="10"/>
  <c r="E54" i="10"/>
  <c r="J51" i="10"/>
  <c r="K51" i="10" s="1"/>
  <c r="F51" i="10"/>
  <c r="E51" i="10"/>
  <c r="J50" i="10"/>
  <c r="K50" i="10" s="1"/>
  <c r="F50" i="10"/>
  <c r="E50" i="10"/>
  <c r="J49" i="10"/>
  <c r="K49" i="10" s="1"/>
  <c r="F49" i="10"/>
  <c r="E49" i="10"/>
  <c r="J48" i="10"/>
  <c r="K48" i="10" s="1"/>
  <c r="F48" i="10"/>
  <c r="E48" i="10"/>
  <c r="J47" i="10"/>
  <c r="K47" i="10" s="1"/>
  <c r="F47" i="10"/>
  <c r="E47" i="10"/>
  <c r="J46" i="10"/>
  <c r="K46" i="10" s="1"/>
  <c r="F46" i="10"/>
  <c r="E46" i="10"/>
  <c r="J45" i="10"/>
  <c r="K45" i="10" s="1"/>
  <c r="F45" i="10"/>
  <c r="E45" i="10"/>
  <c r="J44" i="10"/>
  <c r="K44" i="10" s="1"/>
  <c r="F44" i="10"/>
  <c r="E44" i="10"/>
  <c r="J43" i="10"/>
  <c r="K43" i="10" s="1"/>
  <c r="F43" i="10"/>
  <c r="E43" i="10"/>
  <c r="J42" i="10"/>
  <c r="K42" i="10" s="1"/>
  <c r="F42" i="10"/>
  <c r="E42" i="10"/>
  <c r="J41" i="10"/>
  <c r="K41" i="10" s="1"/>
  <c r="F41" i="10"/>
  <c r="E41" i="10"/>
  <c r="J40" i="10"/>
  <c r="K40" i="10" s="1"/>
  <c r="F40" i="10"/>
  <c r="E40" i="10"/>
  <c r="J39" i="10"/>
  <c r="K39" i="10" s="1"/>
  <c r="F39" i="10"/>
  <c r="E39" i="10"/>
  <c r="J38" i="10"/>
  <c r="K38" i="10" s="1"/>
  <c r="F38" i="10"/>
  <c r="E38" i="10"/>
  <c r="J35" i="10"/>
  <c r="K35" i="10" s="1"/>
  <c r="F35" i="10"/>
  <c r="E35" i="10"/>
  <c r="J34" i="10"/>
  <c r="K34" i="10" s="1"/>
  <c r="F34" i="10"/>
  <c r="E34" i="10"/>
  <c r="J33" i="10"/>
  <c r="K33" i="10" s="1"/>
  <c r="F33" i="10"/>
  <c r="E33" i="10"/>
  <c r="J32" i="10"/>
  <c r="K32" i="10" s="1"/>
  <c r="F32" i="10"/>
  <c r="E32" i="10"/>
  <c r="J31" i="10"/>
  <c r="K31" i="10" s="1"/>
  <c r="F31" i="10"/>
  <c r="E31" i="10"/>
  <c r="J28" i="10"/>
  <c r="K28" i="10" s="1"/>
  <c r="F28" i="10"/>
  <c r="E28" i="10"/>
  <c r="J27" i="10"/>
  <c r="K27" i="10" s="1"/>
  <c r="F27" i="10"/>
  <c r="E27" i="10"/>
  <c r="J26" i="10"/>
  <c r="K26" i="10" s="1"/>
  <c r="F26" i="10"/>
  <c r="E26" i="10"/>
  <c r="J25" i="10"/>
  <c r="K25" i="10" s="1"/>
  <c r="F25" i="10"/>
  <c r="E25" i="10"/>
  <c r="J24" i="10"/>
  <c r="K24" i="10" s="1"/>
  <c r="F24" i="10"/>
  <c r="E24" i="10"/>
  <c r="J23" i="10"/>
  <c r="K23" i="10" s="1"/>
  <c r="F23" i="10"/>
  <c r="E23" i="10"/>
  <c r="J20" i="10"/>
  <c r="K20" i="10" s="1"/>
  <c r="F20" i="10"/>
  <c r="E20" i="10"/>
  <c r="J19" i="10"/>
  <c r="K19" i="10" s="1"/>
  <c r="F19" i="10"/>
  <c r="E19" i="10"/>
  <c r="J18" i="10"/>
  <c r="K18" i="10" s="1"/>
  <c r="F18" i="10"/>
  <c r="E18" i="10"/>
  <c r="J17" i="10"/>
  <c r="K17" i="10" s="1"/>
  <c r="F17" i="10"/>
  <c r="E17" i="10"/>
  <c r="J16" i="10"/>
  <c r="K16" i="10" s="1"/>
  <c r="F16" i="10"/>
  <c r="E16" i="10"/>
  <c r="J15" i="10"/>
  <c r="K15" i="10" s="1"/>
  <c r="F15" i="10"/>
  <c r="E15" i="10"/>
  <c r="J14" i="10"/>
  <c r="K14" i="10" s="1"/>
  <c r="F14" i="10"/>
  <c r="E14" i="10"/>
  <c r="J11" i="10"/>
  <c r="K11" i="10" s="1"/>
  <c r="F11" i="10"/>
  <c r="E11" i="10"/>
  <c r="J10" i="10"/>
  <c r="K10" i="10" s="1"/>
  <c r="F10" i="10"/>
  <c r="E10" i="10"/>
  <c r="J9" i="10"/>
  <c r="K9" i="10" s="1"/>
  <c r="F9" i="10"/>
  <c r="E9" i="10"/>
  <c r="J8" i="10"/>
  <c r="K8" i="10" s="1"/>
  <c r="F8" i="10"/>
  <c r="E8" i="10"/>
  <c r="J7" i="10"/>
  <c r="K7" i="10" s="1"/>
  <c r="F7" i="10"/>
  <c r="E7" i="10"/>
  <c r="J6" i="10"/>
  <c r="K6" i="10" s="1"/>
  <c r="F6" i="10"/>
  <c r="E6" i="10"/>
  <c r="J5" i="10"/>
  <c r="K5" i="10" s="1"/>
  <c r="F5" i="10"/>
  <c r="E5" i="10"/>
  <c r="J4" i="10"/>
  <c r="K4" i="10" s="1"/>
  <c r="F4" i="10"/>
  <c r="E4" i="10"/>
  <c r="J3" i="10"/>
  <c r="K3" i="10" s="1"/>
  <c r="F3" i="10"/>
  <c r="E3" i="10"/>
  <c r="N2" i="10"/>
  <c r="M2" i="10"/>
  <c r="L2" i="10"/>
  <c r="T3" i="10" l="1"/>
  <c r="S3" i="10"/>
  <c r="U3" i="8"/>
  <c r="T3" i="8"/>
  <c r="U3" i="6"/>
  <c r="T3" i="6"/>
  <c r="N2" i="8"/>
  <c r="G46" i="8"/>
  <c r="G45" i="8"/>
  <c r="G44" i="8"/>
  <c r="G43" i="8"/>
  <c r="G42" i="8"/>
  <c r="G39" i="8"/>
  <c r="G38" i="8"/>
  <c r="G37" i="8"/>
  <c r="G36" i="8"/>
  <c r="G35" i="8"/>
  <c r="G34" i="8"/>
  <c r="G33" i="8"/>
  <c r="G32" i="8"/>
  <c r="G31" i="8"/>
  <c r="G28" i="8"/>
  <c r="G27" i="8"/>
  <c r="G26" i="8"/>
  <c r="G25" i="8"/>
  <c r="G24" i="8"/>
  <c r="G23" i="8"/>
  <c r="G22" i="8"/>
  <c r="G21" i="8"/>
  <c r="G18" i="8"/>
  <c r="G17" i="8"/>
  <c r="G16" i="8"/>
  <c r="G15" i="8"/>
  <c r="G12" i="8"/>
  <c r="G11" i="8"/>
  <c r="G10" i="8"/>
  <c r="G9" i="8"/>
  <c r="G8" i="8"/>
  <c r="G7" i="8"/>
  <c r="G6" i="8"/>
  <c r="G5" i="8"/>
  <c r="G4" i="8"/>
  <c r="G3" i="8"/>
  <c r="N2" i="6"/>
  <c r="G53" i="6"/>
  <c r="G52" i="6"/>
  <c r="G51" i="6"/>
  <c r="G50" i="6"/>
  <c r="G49" i="6"/>
  <c r="G48" i="6"/>
  <c r="G45" i="6"/>
  <c r="G44" i="6"/>
  <c r="G43" i="6"/>
  <c r="G42" i="6"/>
  <c r="G41" i="6"/>
  <c r="G40" i="6"/>
  <c r="G39" i="6"/>
  <c r="G38" i="6"/>
  <c r="G37" i="6"/>
  <c r="G36" i="6"/>
  <c r="G33" i="6"/>
  <c r="G32" i="6"/>
  <c r="G31" i="6"/>
  <c r="G30" i="6"/>
  <c r="G29" i="6"/>
  <c r="G28" i="6"/>
  <c r="G25" i="6"/>
  <c r="G24" i="6"/>
  <c r="G23" i="6"/>
  <c r="G22" i="6"/>
  <c r="G21" i="6"/>
  <c r="G20" i="6"/>
  <c r="G19" i="6"/>
  <c r="G18" i="6"/>
  <c r="G17" i="6"/>
  <c r="G16" i="6"/>
  <c r="G13" i="6"/>
  <c r="G12" i="6"/>
  <c r="G11" i="6"/>
  <c r="G10" i="6"/>
  <c r="G9" i="6"/>
  <c r="G8" i="6"/>
  <c r="G7" i="6"/>
  <c r="G6" i="6"/>
  <c r="G5" i="6"/>
  <c r="G4" i="6"/>
  <c r="G3" i="6"/>
  <c r="N2" i="4"/>
  <c r="G139" i="4"/>
  <c r="G138" i="4"/>
  <c r="G137" i="4"/>
  <c r="G136" i="4"/>
  <c r="G135" i="4"/>
  <c r="G132" i="4"/>
  <c r="G131" i="4"/>
  <c r="G130" i="4"/>
  <c r="G129" i="4"/>
  <c r="G128" i="4"/>
  <c r="G127" i="4"/>
  <c r="G124" i="4"/>
  <c r="G123" i="4"/>
  <c r="G122" i="4"/>
  <c r="G121" i="4"/>
  <c r="G120" i="4"/>
  <c r="G117" i="4"/>
  <c r="G116" i="4"/>
  <c r="G115" i="4"/>
  <c r="G114" i="4"/>
  <c r="G113" i="4"/>
  <c r="G112" i="4"/>
  <c r="G109" i="4"/>
  <c r="G108" i="4"/>
  <c r="G107" i="4"/>
  <c r="G106" i="4"/>
  <c r="G105" i="4"/>
  <c r="G104" i="4"/>
  <c r="G101" i="4"/>
  <c r="G100" i="4"/>
  <c r="G99" i="4"/>
  <c r="G98" i="4"/>
  <c r="G95" i="4"/>
  <c r="G94" i="4"/>
  <c r="G93" i="4"/>
  <c r="G92" i="4"/>
  <c r="G89" i="4"/>
  <c r="G88" i="4"/>
  <c r="G87" i="4"/>
  <c r="G86" i="4"/>
  <c r="G83" i="4"/>
  <c r="G82" i="4"/>
  <c r="G81" i="4"/>
  <c r="G80" i="4"/>
  <c r="G79" i="4"/>
  <c r="G78" i="4"/>
  <c r="G75" i="4"/>
  <c r="G74" i="4"/>
  <c r="G73" i="4"/>
  <c r="G72" i="4"/>
  <c r="G71" i="4"/>
  <c r="G70" i="4"/>
  <c r="G67" i="4"/>
  <c r="G66" i="4"/>
  <c r="G65" i="4"/>
  <c r="G62" i="4"/>
  <c r="G61" i="4"/>
  <c r="G60" i="4"/>
  <c r="G59" i="4"/>
  <c r="G58" i="4"/>
  <c r="G55" i="4"/>
  <c r="G54" i="4"/>
  <c r="G53" i="4"/>
  <c r="G52" i="4"/>
  <c r="G51" i="4"/>
  <c r="G48" i="4"/>
  <c r="G47" i="4"/>
  <c r="G46" i="4"/>
  <c r="G45" i="4"/>
  <c r="G44" i="4"/>
  <c r="G43" i="4"/>
  <c r="G42" i="4"/>
  <c r="G41" i="4"/>
  <c r="G40" i="4"/>
  <c r="G39" i="4"/>
  <c r="G36" i="4"/>
  <c r="G35" i="4"/>
  <c r="G34" i="4"/>
  <c r="G33" i="4"/>
  <c r="G32" i="4"/>
  <c r="G31" i="4"/>
  <c r="G28" i="4"/>
  <c r="G27" i="4"/>
  <c r="G26" i="4"/>
  <c r="G25" i="4"/>
  <c r="G24" i="4"/>
  <c r="G23" i="4"/>
  <c r="G20" i="4"/>
  <c r="G19" i="4"/>
  <c r="G18" i="4"/>
  <c r="G17" i="4"/>
  <c r="G16" i="4"/>
  <c r="G15" i="4"/>
  <c r="G14" i="4"/>
  <c r="G11" i="4"/>
  <c r="G10" i="4"/>
  <c r="G9" i="4"/>
  <c r="G8" i="4"/>
  <c r="G7" i="4"/>
  <c r="G6" i="4"/>
  <c r="G5" i="4"/>
  <c r="G4" i="4"/>
  <c r="G3" i="4"/>
  <c r="H150" i="10"/>
  <c r="H149" i="10"/>
  <c r="H148" i="10"/>
  <c r="H147" i="10"/>
  <c r="H146" i="10"/>
  <c r="H145" i="10"/>
  <c r="H142" i="10"/>
  <c r="H141" i="10"/>
  <c r="H140" i="10"/>
  <c r="H139" i="10"/>
  <c r="H136" i="10"/>
  <c r="H135" i="10"/>
  <c r="H134" i="10"/>
  <c r="H133" i="10"/>
  <c r="H132" i="10"/>
  <c r="H129" i="10"/>
  <c r="H128" i="10"/>
  <c r="H127" i="10"/>
  <c r="H126" i="10"/>
  <c r="H125" i="10"/>
  <c r="H124" i="10"/>
  <c r="H121" i="10"/>
  <c r="H120" i="10"/>
  <c r="H119" i="10"/>
  <c r="H118" i="10"/>
  <c r="H117" i="10"/>
  <c r="H116" i="10"/>
  <c r="H113" i="10"/>
  <c r="H112" i="10"/>
  <c r="H111" i="10"/>
  <c r="H110" i="10"/>
  <c r="H109" i="10"/>
  <c r="H106" i="10"/>
  <c r="H105" i="10"/>
  <c r="H104" i="10"/>
  <c r="H101" i="10"/>
  <c r="H100" i="10"/>
  <c r="H99" i="10"/>
  <c r="H98" i="10"/>
  <c r="H97" i="10"/>
  <c r="H96" i="10"/>
  <c r="H93" i="10"/>
  <c r="H92" i="10"/>
  <c r="H91" i="10"/>
  <c r="H90" i="10"/>
  <c r="H89" i="10"/>
  <c r="H86" i="10"/>
  <c r="H85" i="10"/>
  <c r="H84" i="10"/>
  <c r="H83" i="10"/>
  <c r="H82" i="10"/>
  <c r="H81" i="10"/>
  <c r="H80" i="10"/>
  <c r="H79" i="10"/>
  <c r="H76" i="10"/>
  <c r="H75" i="10"/>
  <c r="H74" i="10"/>
  <c r="H73" i="10"/>
  <c r="H72" i="10"/>
  <c r="H69" i="10"/>
  <c r="H68" i="10"/>
  <c r="H67" i="10"/>
  <c r="H66" i="10"/>
  <c r="H65" i="10"/>
  <c r="H64" i="10"/>
  <c r="H63" i="10"/>
  <c r="H60" i="10"/>
  <c r="H59" i="10"/>
  <c r="H58" i="10"/>
  <c r="H57" i="10"/>
  <c r="H56" i="10"/>
  <c r="H55" i="10"/>
  <c r="H54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5" i="10"/>
  <c r="H34" i="10"/>
  <c r="H33" i="10"/>
  <c r="H32" i="10"/>
  <c r="H31" i="10"/>
  <c r="H28" i="10"/>
  <c r="H27" i="10"/>
  <c r="H26" i="10"/>
  <c r="H25" i="10"/>
  <c r="H24" i="10"/>
  <c r="H23" i="10"/>
  <c r="H20" i="10"/>
  <c r="H19" i="10"/>
  <c r="H18" i="10"/>
  <c r="H17" i="10"/>
  <c r="H16" i="10"/>
  <c r="H15" i="10"/>
  <c r="H14" i="10"/>
  <c r="H11" i="10"/>
  <c r="H10" i="10"/>
  <c r="H9" i="10"/>
  <c r="H8" i="10"/>
  <c r="H7" i="10"/>
  <c r="H6" i="10"/>
  <c r="H5" i="10"/>
  <c r="H4" i="10"/>
  <c r="H3" i="10"/>
  <c r="G150" i="10"/>
  <c r="O150" i="10" s="1"/>
  <c r="P150" i="10" s="1"/>
  <c r="G149" i="10"/>
  <c r="O149" i="10" s="1"/>
  <c r="P149" i="10" s="1"/>
  <c r="G148" i="10"/>
  <c r="O148" i="10" s="1"/>
  <c r="P148" i="10" s="1"/>
  <c r="G147" i="10"/>
  <c r="O147" i="10" s="1"/>
  <c r="P147" i="10" s="1"/>
  <c r="G146" i="10"/>
  <c r="O146" i="10" s="1"/>
  <c r="P146" i="10" s="1"/>
  <c r="G145" i="10"/>
  <c r="O145" i="10" s="1"/>
  <c r="P145" i="10" s="1"/>
  <c r="G142" i="10"/>
  <c r="O142" i="10" s="1"/>
  <c r="P142" i="10" s="1"/>
  <c r="G141" i="10"/>
  <c r="O141" i="10" s="1"/>
  <c r="P141" i="10" s="1"/>
  <c r="G140" i="10"/>
  <c r="O140" i="10" s="1"/>
  <c r="P140" i="10" s="1"/>
  <c r="G139" i="10"/>
  <c r="O139" i="10" s="1"/>
  <c r="P139" i="10" s="1"/>
  <c r="G136" i="10"/>
  <c r="O136" i="10" s="1"/>
  <c r="P136" i="10" s="1"/>
  <c r="G135" i="10"/>
  <c r="O135" i="10" s="1"/>
  <c r="P135" i="10" s="1"/>
  <c r="G134" i="10"/>
  <c r="O134" i="10" s="1"/>
  <c r="P134" i="10" s="1"/>
  <c r="G133" i="10"/>
  <c r="O133" i="10" s="1"/>
  <c r="P133" i="10" s="1"/>
  <c r="G132" i="10"/>
  <c r="O132" i="10" s="1"/>
  <c r="P132" i="10" s="1"/>
  <c r="G129" i="10"/>
  <c r="O129" i="10" s="1"/>
  <c r="P129" i="10" s="1"/>
  <c r="G128" i="10"/>
  <c r="O128" i="10" s="1"/>
  <c r="P128" i="10" s="1"/>
  <c r="G127" i="10"/>
  <c r="O127" i="10" s="1"/>
  <c r="P127" i="10" s="1"/>
  <c r="G126" i="10"/>
  <c r="O126" i="10" s="1"/>
  <c r="P126" i="10" s="1"/>
  <c r="G125" i="10"/>
  <c r="O125" i="10" s="1"/>
  <c r="P125" i="10" s="1"/>
  <c r="G124" i="10"/>
  <c r="O124" i="10" s="1"/>
  <c r="P124" i="10" s="1"/>
  <c r="G121" i="10"/>
  <c r="O121" i="10" s="1"/>
  <c r="P121" i="10" s="1"/>
  <c r="G120" i="10"/>
  <c r="O120" i="10" s="1"/>
  <c r="P120" i="10" s="1"/>
  <c r="G119" i="10"/>
  <c r="O119" i="10" s="1"/>
  <c r="P119" i="10" s="1"/>
  <c r="G118" i="10"/>
  <c r="O118" i="10" s="1"/>
  <c r="P118" i="10" s="1"/>
  <c r="G117" i="10"/>
  <c r="O117" i="10" s="1"/>
  <c r="P117" i="10" s="1"/>
  <c r="G116" i="10"/>
  <c r="O116" i="10" s="1"/>
  <c r="P116" i="10" s="1"/>
  <c r="G113" i="10"/>
  <c r="O113" i="10" s="1"/>
  <c r="P113" i="10" s="1"/>
  <c r="G112" i="10"/>
  <c r="O112" i="10" s="1"/>
  <c r="P112" i="10" s="1"/>
  <c r="G111" i="10"/>
  <c r="O111" i="10" s="1"/>
  <c r="P111" i="10" s="1"/>
  <c r="G110" i="10"/>
  <c r="O110" i="10" s="1"/>
  <c r="P110" i="10" s="1"/>
  <c r="G109" i="10"/>
  <c r="O109" i="10" s="1"/>
  <c r="P109" i="10" s="1"/>
  <c r="G106" i="10"/>
  <c r="O106" i="10" s="1"/>
  <c r="P106" i="10" s="1"/>
  <c r="G105" i="10"/>
  <c r="O105" i="10" s="1"/>
  <c r="P105" i="10" s="1"/>
  <c r="G104" i="10"/>
  <c r="O104" i="10" s="1"/>
  <c r="P104" i="10" s="1"/>
  <c r="G103" i="10"/>
  <c r="G102" i="10"/>
  <c r="G101" i="10"/>
  <c r="O101" i="10" s="1"/>
  <c r="P101" i="10" s="1"/>
  <c r="G100" i="10"/>
  <c r="O100" i="10" s="1"/>
  <c r="P100" i="10" s="1"/>
  <c r="G99" i="10"/>
  <c r="O99" i="10" s="1"/>
  <c r="P99" i="10" s="1"/>
  <c r="G98" i="10"/>
  <c r="O98" i="10" s="1"/>
  <c r="P98" i="10" s="1"/>
  <c r="G97" i="10"/>
  <c r="O97" i="10" s="1"/>
  <c r="P97" i="10" s="1"/>
  <c r="G96" i="10"/>
  <c r="O96" i="10" s="1"/>
  <c r="P96" i="10" s="1"/>
  <c r="G93" i="10"/>
  <c r="O93" i="10" s="1"/>
  <c r="P93" i="10" s="1"/>
  <c r="G92" i="10"/>
  <c r="O92" i="10" s="1"/>
  <c r="P92" i="10" s="1"/>
  <c r="G91" i="10"/>
  <c r="O91" i="10" s="1"/>
  <c r="P91" i="10" s="1"/>
  <c r="G90" i="10"/>
  <c r="O90" i="10" s="1"/>
  <c r="P90" i="10" s="1"/>
  <c r="G89" i="10"/>
  <c r="O89" i="10" s="1"/>
  <c r="P89" i="10" s="1"/>
  <c r="G86" i="10"/>
  <c r="O86" i="10" s="1"/>
  <c r="P86" i="10" s="1"/>
  <c r="G85" i="10"/>
  <c r="O85" i="10" s="1"/>
  <c r="P85" i="10" s="1"/>
  <c r="G84" i="10"/>
  <c r="O84" i="10" s="1"/>
  <c r="P84" i="10" s="1"/>
  <c r="G83" i="10"/>
  <c r="O83" i="10" s="1"/>
  <c r="P83" i="10" s="1"/>
  <c r="G82" i="10"/>
  <c r="O82" i="10" s="1"/>
  <c r="P82" i="10" s="1"/>
  <c r="G81" i="10"/>
  <c r="O81" i="10" s="1"/>
  <c r="P81" i="10" s="1"/>
  <c r="G80" i="10"/>
  <c r="O80" i="10" s="1"/>
  <c r="P80" i="10" s="1"/>
  <c r="G79" i="10"/>
  <c r="O79" i="10" s="1"/>
  <c r="P79" i="10" s="1"/>
  <c r="G76" i="10"/>
  <c r="O76" i="10" s="1"/>
  <c r="P76" i="10" s="1"/>
  <c r="G75" i="10"/>
  <c r="O75" i="10" s="1"/>
  <c r="P75" i="10" s="1"/>
  <c r="G74" i="10"/>
  <c r="O74" i="10" s="1"/>
  <c r="P74" i="10" s="1"/>
  <c r="G73" i="10"/>
  <c r="O73" i="10" s="1"/>
  <c r="P73" i="10" s="1"/>
  <c r="G72" i="10"/>
  <c r="O72" i="10" s="1"/>
  <c r="P72" i="10" s="1"/>
  <c r="G69" i="10"/>
  <c r="O69" i="10" s="1"/>
  <c r="P69" i="10" s="1"/>
  <c r="G68" i="10"/>
  <c r="O68" i="10" s="1"/>
  <c r="P68" i="10" s="1"/>
  <c r="G67" i="10"/>
  <c r="O67" i="10" s="1"/>
  <c r="P67" i="10" s="1"/>
  <c r="G66" i="10"/>
  <c r="O66" i="10" s="1"/>
  <c r="P66" i="10" s="1"/>
  <c r="G65" i="10"/>
  <c r="O65" i="10" s="1"/>
  <c r="P65" i="10" s="1"/>
  <c r="G64" i="10"/>
  <c r="O64" i="10" s="1"/>
  <c r="P64" i="10" s="1"/>
  <c r="G63" i="10"/>
  <c r="O63" i="10" s="1"/>
  <c r="P63" i="10" s="1"/>
  <c r="G60" i="10"/>
  <c r="O60" i="10" s="1"/>
  <c r="P60" i="10" s="1"/>
  <c r="G59" i="10"/>
  <c r="O59" i="10" s="1"/>
  <c r="P59" i="10" s="1"/>
  <c r="G58" i="10"/>
  <c r="O58" i="10" s="1"/>
  <c r="P58" i="10" s="1"/>
  <c r="G57" i="10"/>
  <c r="O57" i="10" s="1"/>
  <c r="P57" i="10" s="1"/>
  <c r="G56" i="10"/>
  <c r="O56" i="10" s="1"/>
  <c r="P56" i="10" s="1"/>
  <c r="G55" i="10"/>
  <c r="O55" i="10" s="1"/>
  <c r="P55" i="10" s="1"/>
  <c r="G54" i="10"/>
  <c r="O54" i="10" s="1"/>
  <c r="P54" i="10" s="1"/>
  <c r="G51" i="10"/>
  <c r="O51" i="10" s="1"/>
  <c r="P51" i="10" s="1"/>
  <c r="G50" i="10"/>
  <c r="O50" i="10" s="1"/>
  <c r="P50" i="10" s="1"/>
  <c r="G49" i="10"/>
  <c r="O49" i="10" s="1"/>
  <c r="P49" i="10" s="1"/>
  <c r="G48" i="10"/>
  <c r="O48" i="10" s="1"/>
  <c r="P48" i="10" s="1"/>
  <c r="G47" i="10"/>
  <c r="O47" i="10" s="1"/>
  <c r="P47" i="10" s="1"/>
  <c r="G46" i="10"/>
  <c r="O46" i="10" s="1"/>
  <c r="P46" i="10" s="1"/>
  <c r="G45" i="10"/>
  <c r="O45" i="10" s="1"/>
  <c r="P45" i="10" s="1"/>
  <c r="G44" i="10"/>
  <c r="O44" i="10" s="1"/>
  <c r="P44" i="10" s="1"/>
  <c r="G43" i="10"/>
  <c r="O43" i="10" s="1"/>
  <c r="P43" i="10" s="1"/>
  <c r="G42" i="10"/>
  <c r="O42" i="10" s="1"/>
  <c r="P42" i="10" s="1"/>
  <c r="G41" i="10"/>
  <c r="O41" i="10" s="1"/>
  <c r="P41" i="10" s="1"/>
  <c r="G40" i="10"/>
  <c r="O40" i="10" s="1"/>
  <c r="P40" i="10" s="1"/>
  <c r="G39" i="10"/>
  <c r="O39" i="10" s="1"/>
  <c r="P39" i="10" s="1"/>
  <c r="G38" i="10"/>
  <c r="O38" i="10" s="1"/>
  <c r="P38" i="10" s="1"/>
  <c r="G35" i="10"/>
  <c r="O35" i="10" s="1"/>
  <c r="P35" i="10" s="1"/>
  <c r="G34" i="10"/>
  <c r="O34" i="10" s="1"/>
  <c r="P34" i="10" s="1"/>
  <c r="G33" i="10"/>
  <c r="O33" i="10" s="1"/>
  <c r="P33" i="10" s="1"/>
  <c r="G32" i="10"/>
  <c r="O32" i="10" s="1"/>
  <c r="P32" i="10" s="1"/>
  <c r="G31" i="10"/>
  <c r="O31" i="10" s="1"/>
  <c r="P31" i="10" s="1"/>
  <c r="G28" i="10"/>
  <c r="O28" i="10" s="1"/>
  <c r="P28" i="10" s="1"/>
  <c r="G27" i="10"/>
  <c r="O27" i="10" s="1"/>
  <c r="P27" i="10" s="1"/>
  <c r="G26" i="10"/>
  <c r="O26" i="10" s="1"/>
  <c r="P26" i="10" s="1"/>
  <c r="G25" i="10"/>
  <c r="O25" i="10" s="1"/>
  <c r="P25" i="10" s="1"/>
  <c r="G24" i="10"/>
  <c r="O24" i="10" s="1"/>
  <c r="P24" i="10" s="1"/>
  <c r="G23" i="10"/>
  <c r="O23" i="10" s="1"/>
  <c r="P23" i="10" s="1"/>
  <c r="G20" i="10"/>
  <c r="O20" i="10" s="1"/>
  <c r="P20" i="10" s="1"/>
  <c r="G19" i="10"/>
  <c r="O19" i="10" s="1"/>
  <c r="P19" i="10" s="1"/>
  <c r="G18" i="10"/>
  <c r="O18" i="10" s="1"/>
  <c r="P18" i="10" s="1"/>
  <c r="G17" i="10"/>
  <c r="O17" i="10" s="1"/>
  <c r="P17" i="10" s="1"/>
  <c r="G16" i="10"/>
  <c r="O16" i="10" s="1"/>
  <c r="P16" i="10" s="1"/>
  <c r="G15" i="10"/>
  <c r="O15" i="10" s="1"/>
  <c r="P15" i="10" s="1"/>
  <c r="G14" i="10"/>
  <c r="O14" i="10" s="1"/>
  <c r="P14" i="10" s="1"/>
  <c r="G11" i="10"/>
  <c r="O11" i="10" s="1"/>
  <c r="P11" i="10" s="1"/>
  <c r="G10" i="10"/>
  <c r="O10" i="10" s="1"/>
  <c r="P10" i="10" s="1"/>
  <c r="G9" i="10"/>
  <c r="O9" i="10" s="1"/>
  <c r="P9" i="10" s="1"/>
  <c r="G8" i="10"/>
  <c r="O8" i="10" s="1"/>
  <c r="P8" i="10" s="1"/>
  <c r="G7" i="10"/>
  <c r="O7" i="10" s="1"/>
  <c r="P7" i="10" s="1"/>
  <c r="G6" i="10"/>
  <c r="O6" i="10" s="1"/>
  <c r="P6" i="10" s="1"/>
  <c r="G5" i="10"/>
  <c r="O5" i="10" s="1"/>
  <c r="P5" i="10" s="1"/>
  <c r="G4" i="10"/>
  <c r="O4" i="10" s="1"/>
  <c r="P4" i="10" s="1"/>
  <c r="G3" i="10"/>
  <c r="O3" i="10" s="1"/>
  <c r="P3" i="10" s="1"/>
  <c r="I150" i="10"/>
  <c r="I149" i="10"/>
  <c r="I148" i="10"/>
  <c r="I147" i="10"/>
  <c r="I146" i="10"/>
  <c r="I145" i="10"/>
  <c r="I142" i="10"/>
  <c r="I141" i="10"/>
  <c r="I140" i="10"/>
  <c r="I139" i="10"/>
  <c r="I136" i="10"/>
  <c r="I135" i="10"/>
  <c r="I134" i="10"/>
  <c r="I133" i="10"/>
  <c r="I132" i="10"/>
  <c r="I129" i="10"/>
  <c r="I128" i="10"/>
  <c r="I127" i="10"/>
  <c r="I126" i="10"/>
  <c r="I125" i="10"/>
  <c r="I124" i="10"/>
  <c r="I121" i="10"/>
  <c r="I120" i="10"/>
  <c r="I119" i="10"/>
  <c r="I118" i="10"/>
  <c r="I117" i="10"/>
  <c r="I116" i="10"/>
  <c r="I113" i="10"/>
  <c r="I112" i="10"/>
  <c r="I111" i="10"/>
  <c r="I110" i="10"/>
  <c r="I109" i="10"/>
  <c r="I106" i="10"/>
  <c r="I105" i="10"/>
  <c r="I104" i="10"/>
  <c r="I101" i="10"/>
  <c r="I100" i="10"/>
  <c r="I99" i="10"/>
  <c r="I98" i="10"/>
  <c r="I97" i="10"/>
  <c r="I96" i="10"/>
  <c r="I93" i="10"/>
  <c r="I92" i="10"/>
  <c r="I91" i="10"/>
  <c r="I90" i="10"/>
  <c r="I89" i="10"/>
  <c r="I86" i="10"/>
  <c r="I85" i="10"/>
  <c r="I84" i="10"/>
  <c r="I83" i="10"/>
  <c r="I82" i="10"/>
  <c r="I81" i="10"/>
  <c r="I80" i="10"/>
  <c r="I79" i="10"/>
  <c r="I76" i="10"/>
  <c r="I75" i="10"/>
  <c r="I74" i="10"/>
  <c r="I73" i="10"/>
  <c r="I72" i="10"/>
  <c r="I69" i="10"/>
  <c r="I68" i="10"/>
  <c r="I67" i="10"/>
  <c r="I66" i="10"/>
  <c r="I65" i="10"/>
  <c r="I64" i="10"/>
  <c r="I63" i="10"/>
  <c r="I60" i="10"/>
  <c r="I59" i="10"/>
  <c r="I58" i="10"/>
  <c r="I57" i="10"/>
  <c r="I56" i="10"/>
  <c r="I55" i="10"/>
  <c r="I54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5" i="10"/>
  <c r="I34" i="10"/>
  <c r="I33" i="10"/>
  <c r="I32" i="10"/>
  <c r="I31" i="10"/>
  <c r="I28" i="10"/>
  <c r="I27" i="10"/>
  <c r="I26" i="10"/>
  <c r="I25" i="10"/>
  <c r="I24" i="10"/>
  <c r="I23" i="10"/>
  <c r="I20" i="10"/>
  <c r="I19" i="10"/>
  <c r="I18" i="10"/>
  <c r="I17" i="10"/>
  <c r="I16" i="10"/>
  <c r="I15" i="10"/>
  <c r="I14" i="10"/>
  <c r="I11" i="10"/>
  <c r="I10" i="10"/>
  <c r="I9" i="10"/>
  <c r="I8" i="10"/>
  <c r="I7" i="10"/>
  <c r="I6" i="10"/>
  <c r="I5" i="10"/>
  <c r="I4" i="10"/>
  <c r="I3" i="10"/>
  <c r="H46" i="8" l="1"/>
  <c r="P46" i="8" s="1"/>
  <c r="Q46" i="8" s="1"/>
  <c r="H45" i="8"/>
  <c r="P45" i="8" s="1"/>
  <c r="Q45" i="8" s="1"/>
  <c r="H44" i="8"/>
  <c r="P44" i="8" s="1"/>
  <c r="Q44" i="8" s="1"/>
  <c r="H43" i="8"/>
  <c r="P43" i="8" s="1"/>
  <c r="Q43" i="8" s="1"/>
  <c r="H42" i="8"/>
  <c r="P42" i="8" s="1"/>
  <c r="Q42" i="8" s="1"/>
  <c r="H39" i="8"/>
  <c r="P39" i="8" s="1"/>
  <c r="Q39" i="8" s="1"/>
  <c r="H38" i="8"/>
  <c r="P38" i="8" s="1"/>
  <c r="Q38" i="8" s="1"/>
  <c r="H37" i="8"/>
  <c r="P37" i="8" s="1"/>
  <c r="Q37" i="8" s="1"/>
  <c r="H36" i="8"/>
  <c r="P36" i="8" s="1"/>
  <c r="Q36" i="8" s="1"/>
  <c r="H35" i="8"/>
  <c r="P35" i="8" s="1"/>
  <c r="Q35" i="8" s="1"/>
  <c r="H34" i="8"/>
  <c r="P34" i="8" s="1"/>
  <c r="Q34" i="8" s="1"/>
  <c r="H33" i="8"/>
  <c r="P33" i="8" s="1"/>
  <c r="Q33" i="8" s="1"/>
  <c r="H32" i="8"/>
  <c r="P32" i="8" s="1"/>
  <c r="Q32" i="8" s="1"/>
  <c r="H31" i="8"/>
  <c r="P31" i="8" s="1"/>
  <c r="Q31" i="8" s="1"/>
  <c r="H28" i="8"/>
  <c r="P28" i="8" s="1"/>
  <c r="Q28" i="8" s="1"/>
  <c r="H27" i="8"/>
  <c r="P27" i="8" s="1"/>
  <c r="Q27" i="8" s="1"/>
  <c r="H26" i="8"/>
  <c r="P26" i="8" s="1"/>
  <c r="Q26" i="8" s="1"/>
  <c r="H25" i="8"/>
  <c r="P25" i="8" s="1"/>
  <c r="Q25" i="8" s="1"/>
  <c r="H24" i="8"/>
  <c r="P24" i="8" s="1"/>
  <c r="Q24" i="8" s="1"/>
  <c r="H23" i="8"/>
  <c r="P23" i="8" s="1"/>
  <c r="Q23" i="8" s="1"/>
  <c r="H22" i="8"/>
  <c r="P22" i="8" s="1"/>
  <c r="Q22" i="8" s="1"/>
  <c r="H21" i="8"/>
  <c r="P21" i="8" s="1"/>
  <c r="Q21" i="8" s="1"/>
  <c r="H18" i="8"/>
  <c r="P18" i="8" s="1"/>
  <c r="Q18" i="8" s="1"/>
  <c r="H17" i="8"/>
  <c r="P17" i="8" s="1"/>
  <c r="Q17" i="8" s="1"/>
  <c r="H16" i="8"/>
  <c r="P16" i="8" s="1"/>
  <c r="Q16" i="8" s="1"/>
  <c r="H15" i="8"/>
  <c r="P15" i="8" s="1"/>
  <c r="Q15" i="8" s="1"/>
  <c r="H12" i="8"/>
  <c r="P12" i="8" s="1"/>
  <c r="Q12" i="8" s="1"/>
  <c r="H11" i="8"/>
  <c r="P11" i="8" s="1"/>
  <c r="Q11" i="8" s="1"/>
  <c r="H10" i="8"/>
  <c r="P10" i="8" s="1"/>
  <c r="Q10" i="8" s="1"/>
  <c r="H9" i="8"/>
  <c r="P9" i="8" s="1"/>
  <c r="Q9" i="8" s="1"/>
  <c r="H8" i="8"/>
  <c r="P8" i="8" s="1"/>
  <c r="Q8" i="8" s="1"/>
  <c r="H7" i="8"/>
  <c r="P7" i="8" s="1"/>
  <c r="Q7" i="8" s="1"/>
  <c r="H6" i="8"/>
  <c r="P6" i="8" s="1"/>
  <c r="Q6" i="8" s="1"/>
  <c r="H5" i="8"/>
  <c r="P5" i="8" s="1"/>
  <c r="Q5" i="8" s="1"/>
  <c r="H4" i="8"/>
  <c r="P4" i="8" s="1"/>
  <c r="Q4" i="8" s="1"/>
  <c r="H3" i="8"/>
  <c r="P3" i="8" s="1"/>
  <c r="Q3" i="8" s="1"/>
  <c r="H53" i="6"/>
  <c r="P53" i="6" s="1"/>
  <c r="Q53" i="6" s="1"/>
  <c r="H52" i="6"/>
  <c r="P52" i="6" s="1"/>
  <c r="Q52" i="6" s="1"/>
  <c r="H51" i="6"/>
  <c r="P51" i="6" s="1"/>
  <c r="Q51" i="6" s="1"/>
  <c r="H50" i="6"/>
  <c r="P50" i="6" s="1"/>
  <c r="Q50" i="6" s="1"/>
  <c r="H49" i="6"/>
  <c r="P49" i="6" s="1"/>
  <c r="Q49" i="6" s="1"/>
  <c r="H48" i="6"/>
  <c r="P48" i="6" s="1"/>
  <c r="Q48" i="6" s="1"/>
  <c r="H45" i="6"/>
  <c r="P45" i="6" s="1"/>
  <c r="Q45" i="6" s="1"/>
  <c r="H44" i="6"/>
  <c r="P44" i="6" s="1"/>
  <c r="Q44" i="6" s="1"/>
  <c r="H43" i="6"/>
  <c r="P43" i="6" s="1"/>
  <c r="Q43" i="6" s="1"/>
  <c r="H42" i="6"/>
  <c r="P42" i="6" s="1"/>
  <c r="Q42" i="6" s="1"/>
  <c r="H41" i="6"/>
  <c r="P41" i="6" s="1"/>
  <c r="Q41" i="6" s="1"/>
  <c r="H40" i="6"/>
  <c r="P40" i="6" s="1"/>
  <c r="Q40" i="6" s="1"/>
  <c r="H39" i="6"/>
  <c r="P39" i="6" s="1"/>
  <c r="Q39" i="6" s="1"/>
  <c r="H38" i="6"/>
  <c r="P38" i="6" s="1"/>
  <c r="Q38" i="6" s="1"/>
  <c r="H37" i="6"/>
  <c r="P37" i="6" s="1"/>
  <c r="Q37" i="6" s="1"/>
  <c r="H36" i="6"/>
  <c r="P36" i="6" s="1"/>
  <c r="Q36" i="6" s="1"/>
  <c r="H33" i="6"/>
  <c r="P33" i="6" s="1"/>
  <c r="Q33" i="6" s="1"/>
  <c r="H32" i="6"/>
  <c r="P32" i="6" s="1"/>
  <c r="Q32" i="6" s="1"/>
  <c r="H31" i="6"/>
  <c r="P31" i="6" s="1"/>
  <c r="Q31" i="6" s="1"/>
  <c r="H30" i="6"/>
  <c r="P30" i="6" s="1"/>
  <c r="Q30" i="6" s="1"/>
  <c r="H29" i="6"/>
  <c r="P29" i="6" s="1"/>
  <c r="Q29" i="6" s="1"/>
  <c r="H28" i="6"/>
  <c r="P28" i="6" s="1"/>
  <c r="Q28" i="6" s="1"/>
  <c r="H25" i="6"/>
  <c r="P25" i="6" s="1"/>
  <c r="Q25" i="6" s="1"/>
  <c r="H24" i="6"/>
  <c r="P24" i="6" s="1"/>
  <c r="Q24" i="6" s="1"/>
  <c r="H23" i="6"/>
  <c r="P23" i="6" s="1"/>
  <c r="Q23" i="6" s="1"/>
  <c r="H22" i="6"/>
  <c r="P22" i="6" s="1"/>
  <c r="Q22" i="6" s="1"/>
  <c r="H21" i="6"/>
  <c r="P21" i="6" s="1"/>
  <c r="Q21" i="6" s="1"/>
  <c r="H20" i="6"/>
  <c r="P20" i="6" s="1"/>
  <c r="Q20" i="6" s="1"/>
  <c r="H19" i="6"/>
  <c r="P19" i="6" s="1"/>
  <c r="Q19" i="6" s="1"/>
  <c r="H18" i="6"/>
  <c r="P18" i="6" s="1"/>
  <c r="Q18" i="6" s="1"/>
  <c r="H17" i="6"/>
  <c r="P17" i="6" s="1"/>
  <c r="Q17" i="6" s="1"/>
  <c r="H16" i="6"/>
  <c r="P16" i="6" s="1"/>
  <c r="Q16" i="6" s="1"/>
  <c r="H13" i="6"/>
  <c r="P13" i="6" s="1"/>
  <c r="Q13" i="6" s="1"/>
  <c r="H12" i="6"/>
  <c r="P12" i="6" s="1"/>
  <c r="Q12" i="6" s="1"/>
  <c r="H11" i="6"/>
  <c r="P11" i="6" s="1"/>
  <c r="Q11" i="6" s="1"/>
  <c r="H10" i="6"/>
  <c r="P10" i="6" s="1"/>
  <c r="Q10" i="6" s="1"/>
  <c r="H9" i="6"/>
  <c r="P9" i="6" s="1"/>
  <c r="Q9" i="6" s="1"/>
  <c r="H8" i="6"/>
  <c r="P8" i="6" s="1"/>
  <c r="Q8" i="6" s="1"/>
  <c r="H7" i="6"/>
  <c r="P7" i="6" s="1"/>
  <c r="Q7" i="6" s="1"/>
  <c r="H6" i="6"/>
  <c r="P6" i="6" s="1"/>
  <c r="Q6" i="6" s="1"/>
  <c r="H5" i="6"/>
  <c r="P5" i="6" s="1"/>
  <c r="Q5" i="6" s="1"/>
  <c r="H4" i="6"/>
  <c r="P4" i="6" s="1"/>
  <c r="Q4" i="6" s="1"/>
  <c r="H3" i="6"/>
  <c r="P3" i="6" s="1"/>
  <c r="Q3" i="6" s="1"/>
  <c r="H139" i="4"/>
  <c r="P139" i="4" s="1"/>
  <c r="Q139" i="4" s="1"/>
  <c r="H138" i="4"/>
  <c r="P138" i="4" s="1"/>
  <c r="Q138" i="4" s="1"/>
  <c r="H137" i="4"/>
  <c r="P137" i="4" s="1"/>
  <c r="Q137" i="4" s="1"/>
  <c r="H136" i="4"/>
  <c r="P136" i="4" s="1"/>
  <c r="Q136" i="4" s="1"/>
  <c r="H135" i="4"/>
  <c r="P135" i="4" s="1"/>
  <c r="Q135" i="4" s="1"/>
  <c r="H132" i="4"/>
  <c r="P132" i="4" s="1"/>
  <c r="Q132" i="4" s="1"/>
  <c r="H131" i="4"/>
  <c r="P131" i="4" s="1"/>
  <c r="Q131" i="4" s="1"/>
  <c r="H130" i="4"/>
  <c r="P130" i="4" s="1"/>
  <c r="Q130" i="4" s="1"/>
  <c r="H129" i="4"/>
  <c r="P129" i="4" s="1"/>
  <c r="Q129" i="4" s="1"/>
  <c r="H128" i="4"/>
  <c r="P128" i="4" s="1"/>
  <c r="Q128" i="4" s="1"/>
  <c r="H127" i="4"/>
  <c r="P127" i="4" s="1"/>
  <c r="Q127" i="4" s="1"/>
  <c r="H124" i="4"/>
  <c r="P124" i="4" s="1"/>
  <c r="Q124" i="4" s="1"/>
  <c r="H123" i="4"/>
  <c r="P123" i="4" s="1"/>
  <c r="Q123" i="4" s="1"/>
  <c r="H122" i="4"/>
  <c r="P122" i="4" s="1"/>
  <c r="Q122" i="4" s="1"/>
  <c r="H121" i="4"/>
  <c r="P121" i="4" s="1"/>
  <c r="Q121" i="4" s="1"/>
  <c r="H120" i="4"/>
  <c r="P120" i="4" s="1"/>
  <c r="Q120" i="4" s="1"/>
  <c r="H117" i="4"/>
  <c r="P117" i="4" s="1"/>
  <c r="Q117" i="4" s="1"/>
  <c r="H116" i="4"/>
  <c r="P116" i="4" s="1"/>
  <c r="Q116" i="4" s="1"/>
  <c r="H115" i="4"/>
  <c r="P115" i="4" s="1"/>
  <c r="Q115" i="4" s="1"/>
  <c r="H114" i="4"/>
  <c r="P114" i="4" s="1"/>
  <c r="Q114" i="4" s="1"/>
  <c r="H113" i="4"/>
  <c r="P113" i="4" s="1"/>
  <c r="Q113" i="4" s="1"/>
  <c r="H112" i="4"/>
  <c r="P112" i="4" s="1"/>
  <c r="Q112" i="4" s="1"/>
  <c r="H109" i="4"/>
  <c r="P109" i="4" s="1"/>
  <c r="Q109" i="4" s="1"/>
  <c r="H108" i="4"/>
  <c r="P108" i="4" s="1"/>
  <c r="Q108" i="4" s="1"/>
  <c r="H107" i="4"/>
  <c r="P107" i="4" s="1"/>
  <c r="Q107" i="4" s="1"/>
  <c r="H106" i="4"/>
  <c r="P106" i="4" s="1"/>
  <c r="Q106" i="4" s="1"/>
  <c r="H105" i="4"/>
  <c r="P105" i="4" s="1"/>
  <c r="Q105" i="4" s="1"/>
  <c r="H104" i="4"/>
  <c r="P104" i="4" s="1"/>
  <c r="Q104" i="4" s="1"/>
  <c r="H101" i="4"/>
  <c r="P101" i="4" s="1"/>
  <c r="Q101" i="4" s="1"/>
  <c r="H100" i="4"/>
  <c r="P100" i="4" s="1"/>
  <c r="Q100" i="4" s="1"/>
  <c r="H99" i="4"/>
  <c r="P99" i="4" s="1"/>
  <c r="Q99" i="4" s="1"/>
  <c r="H98" i="4"/>
  <c r="P98" i="4" s="1"/>
  <c r="Q98" i="4" s="1"/>
  <c r="H95" i="4"/>
  <c r="P95" i="4" s="1"/>
  <c r="Q95" i="4" s="1"/>
  <c r="H94" i="4"/>
  <c r="P94" i="4" s="1"/>
  <c r="Q94" i="4" s="1"/>
  <c r="H93" i="4"/>
  <c r="P93" i="4" s="1"/>
  <c r="Q93" i="4" s="1"/>
  <c r="H92" i="4"/>
  <c r="P92" i="4" s="1"/>
  <c r="Q92" i="4" s="1"/>
  <c r="H89" i="4"/>
  <c r="P89" i="4" s="1"/>
  <c r="Q89" i="4" s="1"/>
  <c r="H88" i="4"/>
  <c r="P88" i="4" s="1"/>
  <c r="Q88" i="4" s="1"/>
  <c r="H87" i="4"/>
  <c r="P87" i="4" s="1"/>
  <c r="Q87" i="4" s="1"/>
  <c r="H86" i="4"/>
  <c r="P86" i="4" s="1"/>
  <c r="Q86" i="4" s="1"/>
  <c r="H83" i="4"/>
  <c r="P83" i="4" s="1"/>
  <c r="Q83" i="4" s="1"/>
  <c r="H82" i="4"/>
  <c r="P82" i="4" s="1"/>
  <c r="Q82" i="4" s="1"/>
  <c r="H81" i="4"/>
  <c r="P81" i="4" s="1"/>
  <c r="Q81" i="4" s="1"/>
  <c r="H80" i="4"/>
  <c r="P80" i="4" s="1"/>
  <c r="Q80" i="4" s="1"/>
  <c r="H79" i="4"/>
  <c r="P79" i="4" s="1"/>
  <c r="Q79" i="4" s="1"/>
  <c r="H78" i="4"/>
  <c r="P78" i="4" s="1"/>
  <c r="Q78" i="4" s="1"/>
  <c r="H75" i="4"/>
  <c r="P75" i="4" s="1"/>
  <c r="Q75" i="4" s="1"/>
  <c r="H74" i="4"/>
  <c r="P74" i="4" s="1"/>
  <c r="Q74" i="4" s="1"/>
  <c r="H73" i="4"/>
  <c r="P73" i="4" s="1"/>
  <c r="Q73" i="4" s="1"/>
  <c r="H72" i="4"/>
  <c r="P72" i="4" s="1"/>
  <c r="Q72" i="4" s="1"/>
  <c r="H71" i="4"/>
  <c r="P71" i="4" s="1"/>
  <c r="Q71" i="4" s="1"/>
  <c r="H70" i="4"/>
  <c r="P70" i="4" s="1"/>
  <c r="Q70" i="4" s="1"/>
  <c r="H67" i="4"/>
  <c r="P67" i="4" s="1"/>
  <c r="Q67" i="4" s="1"/>
  <c r="H66" i="4"/>
  <c r="P66" i="4" s="1"/>
  <c r="Q66" i="4" s="1"/>
  <c r="H65" i="4"/>
  <c r="P65" i="4" s="1"/>
  <c r="Q65" i="4" s="1"/>
  <c r="H62" i="4"/>
  <c r="P62" i="4" s="1"/>
  <c r="Q62" i="4" s="1"/>
  <c r="H61" i="4"/>
  <c r="P61" i="4" s="1"/>
  <c r="Q61" i="4" s="1"/>
  <c r="H60" i="4"/>
  <c r="P60" i="4" s="1"/>
  <c r="Q60" i="4" s="1"/>
  <c r="H59" i="4"/>
  <c r="P59" i="4" s="1"/>
  <c r="Q59" i="4" s="1"/>
  <c r="H58" i="4"/>
  <c r="P58" i="4" s="1"/>
  <c r="Q58" i="4" s="1"/>
  <c r="H55" i="4"/>
  <c r="P55" i="4" s="1"/>
  <c r="Q55" i="4" s="1"/>
  <c r="H54" i="4"/>
  <c r="P54" i="4" s="1"/>
  <c r="Q54" i="4" s="1"/>
  <c r="H53" i="4"/>
  <c r="P53" i="4" s="1"/>
  <c r="Q53" i="4" s="1"/>
  <c r="H52" i="4"/>
  <c r="P52" i="4" s="1"/>
  <c r="Q52" i="4" s="1"/>
  <c r="H51" i="4"/>
  <c r="P51" i="4" s="1"/>
  <c r="Q51" i="4" s="1"/>
  <c r="H48" i="4"/>
  <c r="P48" i="4" s="1"/>
  <c r="Q48" i="4" s="1"/>
  <c r="H47" i="4"/>
  <c r="P47" i="4" s="1"/>
  <c r="Q47" i="4" s="1"/>
  <c r="H46" i="4"/>
  <c r="P46" i="4" s="1"/>
  <c r="Q46" i="4" s="1"/>
  <c r="H45" i="4"/>
  <c r="P45" i="4" s="1"/>
  <c r="Q45" i="4" s="1"/>
  <c r="H44" i="4"/>
  <c r="P44" i="4" s="1"/>
  <c r="Q44" i="4" s="1"/>
  <c r="H43" i="4"/>
  <c r="P43" i="4" s="1"/>
  <c r="Q43" i="4" s="1"/>
  <c r="H42" i="4"/>
  <c r="P42" i="4" s="1"/>
  <c r="Q42" i="4" s="1"/>
  <c r="H41" i="4"/>
  <c r="P41" i="4" s="1"/>
  <c r="Q41" i="4" s="1"/>
  <c r="H40" i="4"/>
  <c r="P40" i="4" s="1"/>
  <c r="Q40" i="4" s="1"/>
  <c r="H39" i="4"/>
  <c r="P39" i="4" s="1"/>
  <c r="Q39" i="4" s="1"/>
  <c r="H36" i="4"/>
  <c r="P36" i="4" s="1"/>
  <c r="Q36" i="4" s="1"/>
  <c r="H35" i="4"/>
  <c r="P35" i="4" s="1"/>
  <c r="Q35" i="4" s="1"/>
  <c r="H34" i="4"/>
  <c r="P34" i="4" s="1"/>
  <c r="Q34" i="4" s="1"/>
  <c r="H33" i="4"/>
  <c r="P33" i="4" s="1"/>
  <c r="Q33" i="4" s="1"/>
  <c r="H32" i="4"/>
  <c r="P32" i="4" s="1"/>
  <c r="Q32" i="4" s="1"/>
  <c r="H31" i="4"/>
  <c r="P31" i="4" s="1"/>
  <c r="Q31" i="4" s="1"/>
  <c r="H28" i="4"/>
  <c r="P28" i="4" s="1"/>
  <c r="Q28" i="4" s="1"/>
  <c r="H27" i="4"/>
  <c r="P27" i="4" s="1"/>
  <c r="Q27" i="4" s="1"/>
  <c r="H26" i="4"/>
  <c r="P26" i="4" s="1"/>
  <c r="Q26" i="4" s="1"/>
  <c r="H25" i="4"/>
  <c r="P25" i="4" s="1"/>
  <c r="Q25" i="4" s="1"/>
  <c r="H24" i="4"/>
  <c r="P24" i="4" s="1"/>
  <c r="Q24" i="4" s="1"/>
  <c r="H23" i="4"/>
  <c r="P23" i="4" s="1"/>
  <c r="Q23" i="4" s="1"/>
  <c r="H20" i="4"/>
  <c r="P20" i="4" s="1"/>
  <c r="Q20" i="4" s="1"/>
  <c r="H19" i="4"/>
  <c r="P19" i="4" s="1"/>
  <c r="Q19" i="4" s="1"/>
  <c r="H18" i="4"/>
  <c r="P18" i="4" s="1"/>
  <c r="Q18" i="4" s="1"/>
  <c r="H17" i="4"/>
  <c r="P17" i="4" s="1"/>
  <c r="Q17" i="4" s="1"/>
  <c r="H16" i="4"/>
  <c r="P16" i="4" s="1"/>
  <c r="Q16" i="4" s="1"/>
  <c r="H15" i="4"/>
  <c r="P15" i="4" s="1"/>
  <c r="Q15" i="4" s="1"/>
  <c r="H14" i="4"/>
  <c r="P14" i="4" s="1"/>
  <c r="Q14" i="4" s="1"/>
  <c r="H11" i="4"/>
  <c r="P11" i="4" s="1"/>
  <c r="Q11" i="4" s="1"/>
  <c r="H10" i="4"/>
  <c r="P10" i="4" s="1"/>
  <c r="Q10" i="4" s="1"/>
  <c r="H9" i="4"/>
  <c r="P9" i="4" s="1"/>
  <c r="Q9" i="4" s="1"/>
  <c r="H8" i="4"/>
  <c r="P8" i="4" s="1"/>
  <c r="Q8" i="4" s="1"/>
  <c r="H7" i="4"/>
  <c r="P7" i="4" s="1"/>
  <c r="Q7" i="4" s="1"/>
  <c r="H6" i="4"/>
  <c r="P6" i="4" s="1"/>
  <c r="Q6" i="4" s="1"/>
  <c r="H5" i="4"/>
  <c r="P5" i="4" s="1"/>
  <c r="Q5" i="4" s="1"/>
  <c r="H4" i="4"/>
  <c r="P4" i="4" s="1"/>
  <c r="Q4" i="4" s="1"/>
  <c r="H3" i="4"/>
  <c r="P3" i="4" s="1"/>
  <c r="Q3" i="4" s="1"/>
  <c r="I139" i="4"/>
  <c r="I138" i="4"/>
  <c r="I137" i="4"/>
  <c r="I136" i="4"/>
  <c r="I132" i="4"/>
  <c r="I131" i="4"/>
  <c r="I130" i="4"/>
  <c r="I129" i="4"/>
  <c r="I128" i="4"/>
  <c r="I127" i="4"/>
  <c r="I124" i="4"/>
  <c r="I123" i="4"/>
  <c r="I122" i="4"/>
  <c r="I121" i="4"/>
  <c r="I120" i="4"/>
  <c r="I117" i="4"/>
  <c r="I116" i="4"/>
  <c r="I115" i="4"/>
  <c r="I114" i="4"/>
  <c r="I113" i="4"/>
  <c r="I112" i="4"/>
  <c r="I109" i="4"/>
  <c r="I108" i="4"/>
  <c r="I107" i="4"/>
  <c r="I106" i="4"/>
  <c r="I105" i="4"/>
  <c r="I104" i="4"/>
  <c r="I101" i="4"/>
  <c r="I100" i="4"/>
  <c r="I99" i="4"/>
  <c r="I98" i="4"/>
  <c r="I95" i="4"/>
  <c r="I94" i="4"/>
  <c r="I93" i="4"/>
  <c r="I92" i="4"/>
  <c r="I89" i="4"/>
  <c r="I88" i="4"/>
  <c r="I87" i="4"/>
  <c r="I86" i="4"/>
  <c r="I83" i="4"/>
  <c r="I82" i="4"/>
  <c r="I81" i="4"/>
  <c r="I80" i="4"/>
  <c r="I79" i="4"/>
  <c r="I78" i="4"/>
  <c r="I75" i="4"/>
  <c r="I74" i="4"/>
  <c r="I73" i="4"/>
  <c r="I72" i="4"/>
  <c r="I71" i="4"/>
  <c r="I70" i="4"/>
  <c r="I67" i="4"/>
  <c r="I66" i="4"/>
  <c r="I65" i="4"/>
  <c r="I62" i="4"/>
  <c r="I61" i="4"/>
  <c r="I60" i="4"/>
  <c r="I59" i="4"/>
  <c r="I58" i="4"/>
  <c r="I55" i="4"/>
  <c r="I54" i="4"/>
  <c r="I53" i="4"/>
  <c r="I52" i="4"/>
  <c r="I51" i="4"/>
  <c r="I48" i="4"/>
  <c r="I47" i="4"/>
  <c r="I46" i="4"/>
  <c r="I45" i="4"/>
  <c r="I44" i="4"/>
  <c r="I43" i="4"/>
  <c r="I42" i="4"/>
  <c r="I41" i="4"/>
  <c r="I40" i="4"/>
  <c r="I39" i="4"/>
  <c r="I36" i="4"/>
  <c r="I35" i="4"/>
  <c r="I34" i="4"/>
  <c r="I33" i="4"/>
  <c r="I32" i="4"/>
  <c r="I31" i="4"/>
  <c r="I28" i="4"/>
  <c r="I27" i="4"/>
  <c r="I26" i="4"/>
  <c r="I25" i="4"/>
  <c r="I24" i="4"/>
  <c r="I23" i="4"/>
  <c r="I20" i="4"/>
  <c r="I19" i="4"/>
  <c r="I18" i="4"/>
  <c r="I17" i="4"/>
  <c r="I16" i="4"/>
  <c r="I15" i="4"/>
  <c r="I14" i="4"/>
  <c r="I11" i="4"/>
  <c r="I10" i="4"/>
  <c r="I9" i="4"/>
  <c r="I8" i="4"/>
  <c r="I7" i="4"/>
  <c r="I6" i="4"/>
  <c r="I5" i="4"/>
  <c r="I4" i="4"/>
  <c r="I3" i="4"/>
  <c r="I53" i="6"/>
  <c r="I52" i="6"/>
  <c r="I51" i="6"/>
  <c r="I50" i="6"/>
  <c r="I49" i="6"/>
  <c r="I48" i="6"/>
  <c r="I45" i="6"/>
  <c r="I44" i="6"/>
  <c r="I43" i="6"/>
  <c r="I42" i="6"/>
  <c r="I41" i="6"/>
  <c r="I40" i="6"/>
  <c r="I39" i="6"/>
  <c r="I38" i="6"/>
  <c r="I37" i="6"/>
  <c r="I36" i="6"/>
  <c r="I33" i="6"/>
  <c r="I32" i="6"/>
  <c r="I31" i="6"/>
  <c r="I30" i="6"/>
  <c r="I29" i="6"/>
  <c r="I28" i="6"/>
  <c r="I25" i="6"/>
  <c r="I24" i="6"/>
  <c r="I23" i="6"/>
  <c r="I22" i="6"/>
  <c r="I21" i="6"/>
  <c r="I20" i="6"/>
  <c r="I19" i="6"/>
  <c r="I18" i="6"/>
  <c r="I17" i="6"/>
  <c r="I16" i="6"/>
  <c r="I13" i="6"/>
  <c r="I12" i="6"/>
  <c r="I11" i="6"/>
  <c r="I10" i="6"/>
  <c r="I9" i="6"/>
  <c r="I8" i="6"/>
  <c r="I7" i="6"/>
  <c r="I6" i="6"/>
  <c r="I5" i="6"/>
  <c r="I4" i="6"/>
  <c r="I3" i="6"/>
  <c r="I46" i="8"/>
  <c r="I45" i="8"/>
  <c r="I44" i="8"/>
  <c r="I43" i="8"/>
  <c r="I42" i="8"/>
  <c r="I39" i="8"/>
  <c r="I38" i="8"/>
  <c r="I37" i="8"/>
  <c r="I36" i="8"/>
  <c r="I35" i="8"/>
  <c r="I34" i="8"/>
  <c r="I33" i="8"/>
  <c r="I32" i="8"/>
  <c r="I31" i="8"/>
  <c r="I28" i="8"/>
  <c r="I27" i="8"/>
  <c r="I26" i="8"/>
  <c r="I25" i="8"/>
  <c r="I24" i="8"/>
  <c r="I23" i="8"/>
  <c r="I22" i="8"/>
  <c r="I21" i="8"/>
  <c r="I18" i="8"/>
  <c r="I17" i="8"/>
  <c r="I16" i="8"/>
  <c r="I15" i="8"/>
  <c r="I12" i="8"/>
  <c r="I11" i="8"/>
  <c r="I10" i="8"/>
  <c r="I9" i="8"/>
  <c r="I8" i="8"/>
  <c r="I7" i="8"/>
  <c r="I6" i="8"/>
  <c r="I5" i="8"/>
  <c r="I4" i="8"/>
  <c r="I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19A8F8-512A-4B49-8B5A-46A4B86D249C}" keepAlive="1" name="Query - combined_grouped_tables" description="Verbinding maken met de query combined_grouped_tables in de werkmap." type="5" refreshedVersion="8" background="1" saveData="1">
    <dbPr connection="Provider=Microsoft.Mashup.OleDb.1;Data Source=$Workbook$;Location=combined_grouped_tables;Extended Properties=&quot;&quot;" command="SELECT * FROM [combined_grouped_tables]"/>
  </connection>
  <connection id="2" xr16:uid="{5CD87CEA-750E-4390-BC3F-C5A8BF6D0FEC}" keepAlive="1" name="Query - combined_grouped_tablesAC" description="Verbinding maken met de query combined_grouped_tablesAC in de werkmap." type="5" refreshedVersion="0" background="1">
    <dbPr connection="Provider=Microsoft.Mashup.OleDb.1;Data Source=$Workbook$;Location=combined_grouped_tablesAC;Extended Properties=&quot;&quot;" command="SELECT * FROM [combined_grouped_tablesAC]"/>
  </connection>
  <connection id="3" xr16:uid="{C30AA1E7-FAF2-487F-9A2F-D7E24EE0B9C2}" keepAlive="1" name="Query - combined_grouped_tablesC" description="Verbinding maken met de query combined_grouped_tablesC in de werkmap." type="5" refreshedVersion="8" background="1" saveData="1">
    <dbPr connection="Provider=Microsoft.Mashup.OleDb.1;Data Source=$Workbook$;Location=combined_grouped_tablesC;Extended Properties=&quot;&quot;" command="SELECT * FROM [combined_grouped_tablesC]"/>
  </connection>
  <connection id="4" xr16:uid="{0EEFC669-344C-4842-B6AB-E9AFD77169F0}" keepAlive="1" name="Query - combined_grouped_tablesCC" description="Verbinding maken met de query combined_grouped_tablesCC in de werkmap." type="5" refreshedVersion="8" background="1" saveData="1">
    <dbPr connection="Provider=Microsoft.Mashup.OleDb.1;Data Source=$Workbook$;Location=combined_grouped_tablesCC;Extended Properties=&quot;&quot;" command="SELECT * FROM [combined_grouped_tablesCC]"/>
  </connection>
</connections>
</file>

<file path=xl/sharedStrings.xml><?xml version="1.0" encoding="utf-8"?>
<sst xmlns="http://schemas.openxmlformats.org/spreadsheetml/2006/main" count="812" uniqueCount="650">
  <si>
    <t xml:space="preserve"> </t>
  </si>
  <si>
    <t>A1: Attention to detail</t>
  </si>
  <si>
    <t>A2: Holding attention on tasks</t>
  </si>
  <si>
    <t>DIVA_A2a1 Niet lang de aandacht bij taken kunnen houden</t>
  </si>
  <si>
    <t>DIVA_A2a2 Snel afgeleid zijn door eigen associaties/gedachten</t>
  </si>
  <si>
    <t>DIVA_A2a3 Gemakkelijk afgeleid door gedachten aan iets anders</t>
  </si>
  <si>
    <t>DIVA_A2a6 Snel ergens op uitgekeken zijn</t>
  </si>
  <si>
    <t>DIVA_A2a7  Vragen stellen over onderwerpen die al besproken zijn</t>
  </si>
  <si>
    <t>DIVA_A2a5 Moeite hebben een film uit te kijken of een boek te lezen</t>
  </si>
  <si>
    <t>A3: Listening</t>
  </si>
  <si>
    <t xml:space="preserve">DIVA_A1a1 Slordige fouten maken </t>
  </si>
  <si>
    <t>DIVA_A1a2 Langzaam moeten werken om fouten te voorkomen</t>
  </si>
  <si>
    <t xml:space="preserve"> DIVA_A1a3 Levert slordig werk af</t>
  </si>
  <si>
    <t>DIVA_A1a4 Instructies niet nauwkeurig lezen</t>
  </si>
  <si>
    <t>DIVA_A1a5 Kijkt over details heen of mist deze</t>
  </si>
  <si>
    <t>DIVA_A1a6 Slecht zijn in gedetailleerd werken</t>
  </si>
  <si>
    <t>DIVA_A1a7 Te veel tijd nodig hebben voor details</t>
  </si>
  <si>
    <t>DIVA_A1a8 Verzanden in details</t>
  </si>
  <si>
    <t>DIVA_A1a9 Te snel werken en daardoor fouten maken</t>
  </si>
  <si>
    <t>DIVA_A_3a1 Dromerig of afwezig zijn</t>
  </si>
  <si>
    <t>DIVA_A_3a2 Moeite om zich te concentreren op een gesprek</t>
  </si>
  <si>
    <t>DIVA_A_3a3  Achteraf niet weten waar een gesprek over ging</t>
  </si>
  <si>
    <t>DIVA_A_3a4 Vaak het onderwerp van het gesprek veranderen</t>
  </si>
  <si>
    <t>DIVA_A_3a5  Anderen zeggen dat je er met je gedachten niet bij bent</t>
  </si>
  <si>
    <t>DIVA_A_3a6  Lijkt afwezig, zelfs als er geen duidelijke afleiding is</t>
  </si>
  <si>
    <t>A4: Following through on instructions</t>
  </si>
  <si>
    <t>DIVA_A4a1  Dingen door elkaar doen zonder ze af te maken</t>
  </si>
  <si>
    <t>DIVA_A4a2  Begint wel met een taak, maar raakt al snel afgeleid</t>
  </si>
  <si>
    <t>DIVA_A4a3  Deadlines nodig hebben om taken af te maken</t>
  </si>
  <si>
    <t>DIVA_A4a4  Moeite administratie af te maken</t>
  </si>
  <si>
    <t>DIVA_A4a5  Moeite gebruiksaanwijzingen op te volgen</t>
  </si>
  <si>
    <t>A5: Organising tasks</t>
  </si>
  <si>
    <t>DIVA_A5a1  Moeite de dagelijkse dingen te plannen</t>
  </si>
  <si>
    <t>DIVA_A5a2  Moeite om een reeks taken achter elkaar af te maken</t>
  </si>
  <si>
    <t>DIVA_A5a3  Huis en/of werkplek zijn rommelig</t>
  </si>
  <si>
    <t>DIVA_A5a4 Lastig om benodigdheden en eigendommen op hun 
plek op te bergen</t>
  </si>
  <si>
    <t>DIVA_A5a5  Werk is slordig en wanordelijk</t>
  </si>
  <si>
    <t>DIVA_A5a6  Te veel plannen of niet efficiënt plannen</t>
  </si>
  <si>
    <t>DIVA_A5a7  Regelmatig dubbele afspraken maken</t>
  </si>
  <si>
    <t>DIVA_A5a8  Te laat komen</t>
  </si>
  <si>
    <t>DIVA_A5a9  Deadlines niet halen</t>
  </si>
  <si>
    <t>DIVA_A5a10 Niet consequent een agenda kunnen gebruiken</t>
  </si>
  <si>
    <t>DIVA_A5a11  Inflexibel zijn door vasthouden aan schema’s</t>
  </si>
  <si>
    <t>DIVA_A5a12 Slecht tijdsbesef en tijdsindeling</t>
  </si>
  <si>
    <t>DIVA_A5a13 Schema’s maken en die niet gebruiken</t>
  </si>
  <si>
    <t>DIVA_A5a14 Anderen nodig hebben om zaken te structureren</t>
  </si>
  <si>
    <t xml:space="preserve">A6: Avoiding difficult tasks </t>
  </si>
  <si>
    <t>A7: Losing things</t>
  </si>
  <si>
    <t>A8: Easily distracted</t>
  </si>
  <si>
    <t>A9: Forgetful</t>
  </si>
  <si>
    <t>HI1: Fidgets</t>
  </si>
  <si>
    <t>HI2: Leaves seat</t>
  </si>
  <si>
    <t>HI3: Feels restless</t>
  </si>
  <si>
    <t>HI4: Quiet leisure activities</t>
  </si>
  <si>
    <t>HI5: On the go</t>
  </si>
  <si>
    <t>HI6: Talks excessively</t>
  </si>
  <si>
    <t>HI8: Trouble waiting turn</t>
  </si>
  <si>
    <t>HI9: Interrupts</t>
  </si>
  <si>
    <t>DIVA_A6a1 Eerst doen wat het makkelijkst of leukst is</t>
  </si>
  <si>
    <t>DIVA_A6a2 Saaie of lastige taken vaak uitstellen</t>
  </si>
  <si>
    <t>DIVA_A6a3 Taken uitstellen zodat deadlines gemist worden</t>
  </si>
  <si>
    <t>DIVA_A6a4 Monotoon werk zoals administratie vermijden</t>
  </si>
  <si>
    <t>DIVA_A6a5 Vermijden van rapport opstellen, formulieren invullen, of 
lange artikelen doornemen</t>
  </si>
  <si>
    <t>DIVA_A6a6 Niet van lezen houden vanwege de mentale inspanning</t>
  </si>
  <si>
    <t>DIVA_A6a7 Vermijden van zaken die veel concentratie vragen</t>
  </si>
  <si>
    <t>DIVA_A7a1 Gereedschap, papierwerk, bril, mobiele telefoon, 
portefeuille, sleutels of agenda kwijtraken</t>
  </si>
  <si>
    <t>DIVA_A7a2 Regelmatig spullen laten liggen</t>
  </si>
  <si>
    <t>DIVA_A7a3 Papieren voor het werk kwijtraken</t>
  </si>
  <si>
    <t>DIVA_A7a4 Veel tijd kwijt met zoeken naar spullen</t>
  </si>
  <si>
    <t>DIVA_A7a5 In paniek als anderen dingen verplaatsen</t>
  </si>
  <si>
    <t>DIVA_A7a6 Spullen verkeerd opbergen</t>
  </si>
  <si>
    <t>DIVA_A7a7 Lijsten, telefoonnummers of notities kwijtraken</t>
  </si>
  <si>
    <t>DIVA_A8a1 Moeite zich af te sluiten voor externe prikkels</t>
  </si>
  <si>
    <t>DIVA_A8a2 Na afleiding moeilijk de draad weer oppakken</t>
  </si>
  <si>
    <t>DIVA_A8a3 Snel afgeleid door geluiden of gebeurtenissen</t>
  </si>
  <si>
    <t>DIVA_A8a4 Gesprekken van anderen meeluisteren</t>
  </si>
  <si>
    <t>DIVA_A8a5 Moeite informatie te filteren/selecteren</t>
  </si>
  <si>
    <t>DIVA_A9a1 Afspraken of andere verplichtingen vergeten</t>
  </si>
  <si>
    <t>DIVA_A9a2 Sleutels, agenda etc. vergeten</t>
  </si>
  <si>
    <t>DIVA_A9a3 Vaak aan afspraken herinnerd moeten worden</t>
  </si>
  <si>
    <t>DIVA_A9a4 Vergeten terug te bellen of rekeningen te betalen</t>
  </si>
  <si>
    <t>DIVA_A9a5 Terug naar huis moeten om vergeten spullen te halen</t>
  </si>
  <si>
    <t>DIVA_A9a6 Starre schema’s om dingen niet te vergeten</t>
  </si>
  <si>
    <t>DIVA_A9a7 Vergeten in agenda te schrijven/kijken</t>
  </si>
  <si>
    <t>DIVA_A9a8 Vergeten afspraken na te komen</t>
  </si>
  <si>
    <t>DIVA_HI_1a1 Moeite met stilzitten</t>
  </si>
  <si>
    <t>DIVA_HI_1a2 Met de benen wiebelen</t>
  </si>
  <si>
    <t>DIVA_HI_1a3 Met een pen tikken of met iets spelen</t>
  </si>
  <si>
    <t>DIVA_HI_1a4 Nagels bijten of in haren friemelen</t>
  </si>
  <si>
    <t>DIVA_HI_1a5 Kan onrust beheersen, resulterend in spanning</t>
  </si>
  <si>
    <t>DIVA_HI_2a1 Vaak opstaan van zijn/haar plek op kantoor of een 
andere werkplek</t>
  </si>
  <si>
    <t>DIVA_HI_2a2 Symposia, lezingen, kerk etc. vermijden</t>
  </si>
  <si>
    <t>DIVA_HI_2a3 Liever rondlopen dan zitten</t>
  </si>
  <si>
    <t>DIVA_HI_2a4 Nooit lang stilzitten, altijd in beweging zijn</t>
  </si>
  <si>
    <t>DIVA_HI_2a5 Gespannen vanwege moeite om stil te zitten</t>
  </si>
  <si>
    <t>DIVA_HI_2a6 Excuses verzinnen om te mogen lopen</t>
  </si>
  <si>
    <t>DIVA_HI_3a1 Zich innerlijk onrustig of gejaagd voelen</t>
  </si>
  <si>
    <t>DIVA_HI_3a2 Steeds het gevoel hebben bezig te moeten zijn</t>
  </si>
  <si>
    <t>DIVA_HI_3a3 Zich moeilijk kunnen ontspannen</t>
  </si>
  <si>
    <t>DIVA_HI_4a1 Praten bij activiteiten waarbij dit niet gepast is</t>
  </si>
  <si>
    <t>DIVA_HI_4a2 In gezelschap snel haantje de voorste zijn</t>
  </si>
  <si>
    <t>DIVA_HI_4a3 Luidruchtig zijn in allerlei situaties</t>
  </si>
  <si>
    <t>DIVA_HI_4a4 Activiteiten moeilijk rustig kunnen doen</t>
  </si>
  <si>
    <t>DIVA_HI_4a5 Moeite om zacht te praten</t>
  </si>
  <si>
    <t>DIVA_HI_5a1 Altijd maar bezig zijn</t>
  </si>
  <si>
    <t>DIVA_HI_5a2 Moeite met lang stilzitten, of zich hier ongemakkelijk bij 
voelen, bv. in restaurants of vergaderingen</t>
  </si>
  <si>
    <t>DIVA_HI_5a3 Veel energie hebben, altijd maar doorgaan</t>
  </si>
  <si>
    <t>DIVA_HI_5a4 Anderen vinden u onrustig of vinden het moeilijk om u 
bij te houden</t>
  </si>
  <si>
    <t>DIVA_HI_5a5 Over eigen grenzen gaan</t>
  </si>
  <si>
    <t>DIVA_HI_5a6 Moeilijk los kunnen laten, doordraven/drammen</t>
  </si>
  <si>
    <t>DIVA_HI_6a1  Zo druk praten dat mensen het vermoeiend vinden</t>
  </si>
  <si>
    <t>DIVA_HI_6a2 Bekend staan als drukke prater</t>
  </si>
  <si>
    <t>DIVA_HI_6a3 Het moeilijk vinden om te stoppen met praten</t>
  </si>
  <si>
    <t>DIVA_HI_6a4 Neiging te veel te praten</t>
  </si>
  <si>
    <t>DIVA_HI_6a5 Anderen geen ruimte geven in een gesprek</t>
  </si>
  <si>
    <t>DIVA_HI_6a6 Veel woorden nodig hebben om iets te zeggen</t>
  </si>
  <si>
    <t>DIVA_HI_7a1 Een flapuit zijn, het hart op de tong hebben</t>
  </si>
  <si>
    <t>DIVA_HI_7a2 Dingen zeggen zonder na te denken</t>
  </si>
  <si>
    <t>DIVA_HI_7a3 Mensen antwoord geven voordat ze uitgepraat zijn</t>
  </si>
  <si>
    <t>DIVA_HI_7a4 Zinnen van anderen afmaken</t>
  </si>
  <si>
    <t>DIVA_HI_7a5 Tactloos zijn</t>
  </si>
  <si>
    <t>HI7: Blurts out answer</t>
  </si>
  <si>
    <t>MISSING</t>
  </si>
  <si>
    <t>DIVA_HI_8a1  Moeite met wachten in een rij, voordringen</t>
  </si>
  <si>
    <t>DIVA_HI_8a2 Moeite in verkeer / file geduldig te blijven</t>
  </si>
  <si>
    <t>DIVA_HI_8a3 Ongeduldig zijn</t>
  </si>
  <si>
    <t>DIVA_HI_8a4 Snel relaties/banen aangaan of verbreken uit ongeduld</t>
  </si>
  <si>
    <t>DIVA_HI_9a1 Zich snel bemoeien met anderen</t>
  </si>
  <si>
    <t>DIVA_HI_9a2 Anderen in de rede vallen</t>
  </si>
  <si>
    <t>DIVA_HI_9a3 Mensen ongevraagd storen in hun bezigheden, en hun 
taken overnemen</t>
  </si>
  <si>
    <t>DIVA_HI_9a4 Opmerkingen van anderen over bemoeizucht</t>
  </si>
  <si>
    <t>DIVA_HI_9a5 Moeite de grenzen van anderen te respecteren</t>
  </si>
  <si>
    <t>DIVA_HI_9a6 Over alles een mening hebben en dit direct uiten</t>
  </si>
  <si>
    <t>DIVA_HI_1c2 Met de benen wiebelen</t>
  </si>
  <si>
    <t>DIVA_HI_1c3 Met een pen tikken of met iets spelen</t>
  </si>
  <si>
    <t>DIVA_HI_1c4 Nagels bijten of in haren friemelen</t>
  </si>
  <si>
    <t>DIVA_A1c1 Slordige fouten maken in schoolwerk</t>
  </si>
  <si>
    <t>DIVA_A1c2 Fouten maken door vragen niet goed te lezen</t>
  </si>
  <si>
    <t xml:space="preserve"> DIVA_A1c3 Kijkt over details heen of mist deze</t>
  </si>
  <si>
    <t>DIVA_A1c4  Levert slordig werk af</t>
  </si>
  <si>
    <t>DIVA_A1c5 Vragen onbeantwoord laten door niet goed lezen</t>
  </si>
  <si>
    <t>DIVA_A1c6  De achterzijde van een toets onbeantwoord laten</t>
  </si>
  <si>
    <t>DIVA_A1c7 Commentaar van anderen over slordig werken</t>
  </si>
  <si>
    <t>DIVA_A1c8 Antwoorden van huiswerk niet controleren</t>
  </si>
  <si>
    <t>DIVA_A1c9 Te veel tijd nodig voor taken met veel details</t>
  </si>
  <si>
    <t>DIVA_A2c1 Moeilijk de aandacht bij schoolwerk kunnen houden</t>
  </si>
  <si>
    <t>DIVA_A2c2 Moeilijk de aandacht bij spel kunnen houden</t>
  </si>
  <si>
    <t>DIVA_A2c3 Problemen geconcentreerd te blijven tijdens een les, een 
gesprek of bij het lezen van een lange tekst</t>
  </si>
  <si>
    <t>DIVA_A2c4 Snel afgeleid zijn</t>
  </si>
  <si>
    <t>DIVA_A2c5  Moeite zich te concentreren</t>
  </si>
  <si>
    <t>DIVA_A2c6 Veel structuur nodig hebben om niet te worden afgeleid</t>
  </si>
  <si>
    <t>DIVA_A2c7  Snel uitgekeken zijn op activiteiten</t>
  </si>
  <si>
    <t>DIVA_A_3c1  Niet weten wat ouders/leerkrachten gezegd hebben</t>
  </si>
  <si>
    <t>DIVA_A_3c2 Dromerig of afwezig zijn</t>
  </si>
  <si>
    <t>DIVA_A_3c3  Pas luisteren bij oogcontact of stemverheffing</t>
  </si>
  <si>
    <t>DIVA_A_3c4 Lijkt afwezig, zelfs als er geen duidelijke afleiding is</t>
  </si>
  <si>
    <t>DIVA_A_3c5  Vaak opnieuw aangesproken moeten worden</t>
  </si>
  <si>
    <t>DIVA_A_3c6  Vragen moeten herhaald worden</t>
  </si>
  <si>
    <t>DIVA_A4c1  Moeite hebben instructies op te volgen</t>
  </si>
  <si>
    <t>DIVA_A4c2  Moeite met opdrachten bestaande uit meerdere stappen</t>
  </si>
  <si>
    <t>DIVA_A4c3  Begint wel met een taak, maar raakt al snel afgeleid</t>
  </si>
  <si>
    <t>DIVA_A4c4   Dingen niet afmaken</t>
  </si>
  <si>
    <t>DIVA_A4c5  Huiswerk niet afmaken of niet inleveren</t>
  </si>
  <si>
    <t>DIVA_A4c6 Veel structuur nodig om taken af te kunnen maken</t>
  </si>
  <si>
    <t>DIVA_A5c1  Moeite hebben om op tijd klaar te zijn</t>
  </si>
  <si>
    <t>DIVA_A5c2  Rommelige kamer / bureau en/of werk</t>
  </si>
  <si>
    <t>DIVA_A5c3  Lastig om benodigdheden en eigendommen op hun plek 
op te bergen</t>
  </si>
  <si>
    <t>DIVA_A5c4 Moeite om zelfstandig te spelen</t>
  </si>
  <si>
    <t>DIVA_A5c5  Moeite met het plannen van taken of huiswerk</t>
  </si>
  <si>
    <t>DIVA_A5c6  Dingen door elkaar doen</t>
  </si>
  <si>
    <t>DIVA_A5c7  Te laat komen</t>
  </si>
  <si>
    <t>DIVA_A5c8  Deadlines niet halen</t>
  </si>
  <si>
    <t>DIVA_A5c9  Slecht tijdsbesef</t>
  </si>
  <si>
    <t>DIVA_A5c10 Moeite zichzelf te vermaken</t>
  </si>
  <si>
    <t>DIVA_A6c1 Huiswerk vermijden of hier een afkeer van hebben</t>
  </si>
  <si>
    <t>DIVA_A6c2 Weinig boeken lezen of geen zin in lezen vanwege de men_x0002_tale inspanning</t>
  </si>
  <si>
    <t>DIVA_A6c3 Vermijden van zaken die veel concentratie vragen</t>
  </si>
  <si>
    <t>DIVA_A6c4 Afkeer van schoolvakken die veel concentratie vragen</t>
  </si>
  <si>
    <t>DIVA_A6c5 Saaie of lastige taken vaak uitstellen</t>
  </si>
  <si>
    <t>DIVA_A7c1 Schoolmateriaal, pennen, boeken, of andere spullen 
kwijtraken</t>
  </si>
  <si>
    <t>DIVA_A7c2 Kleding, speelgoed of huiswerk kwijtraken</t>
  </si>
  <si>
    <t>DIVA_A7c5  Commentaar ouders/leraar over spullen kwijt zijn</t>
  </si>
  <si>
    <t>DIVA_A7c4  In paniek als anderen dingen verplaatsen</t>
  </si>
  <si>
    <t>DIVA_A7c3  Veel tijd kwijt zijn met zoeken naar spullen</t>
  </si>
  <si>
    <t>DIVA_A8c1  In de klas vaak naar buiten kijken</t>
  </si>
  <si>
    <t>DIVA_A8c3 Na afleiding moeilijk de draad weer oppakken</t>
  </si>
  <si>
    <t>DIVA_A8c2  Snel afgeleid door geluiden of gebeurtenissen</t>
  </si>
  <si>
    <t>DIVA_A9c1  Afspraken of opdrachten vergeten</t>
  </si>
  <si>
    <t>DIVA_A9c2 Vergeten karweitjes of boodschappen te doen</t>
  </si>
  <si>
    <t>DIVA_A9c3  Vaak aan dingen herinnerd moeten worden</t>
  </si>
  <si>
    <t>DIVA_A9c4  Halverwege een taak vergeten wat moest gebeuren</t>
  </si>
  <si>
    <t>DIVA_A9c5  Spullen voor school vergeten mee te nemen</t>
  </si>
  <si>
    <t>DIVA_A9c6  Spullen op school of bij vriendjes laten liggen</t>
  </si>
  <si>
    <t>DIVA_HI_1c1 Ouders zeiden vaak ‘zit stil’ of iets dergelijks</t>
  </si>
  <si>
    <t>DIVA_HI_1c5 Niet normaal op een stoel kunnen blijven zitten</t>
  </si>
  <si>
    <t>DIVA_HI_1c6 Kan onrust beheersen, resulterend in spanning</t>
  </si>
  <si>
    <t>DIVA_HI_2c1 Tijdens het eten en/of op school vaak opstaan of plek 
verlaten</t>
  </si>
  <si>
    <t>DIVA_HI_2c2 Zeer veel moeite om stil te kunnen zitten op school of 
tijdens maaltijden</t>
  </si>
  <si>
    <t>DIVA_HI_2c3 Erop gewezen worden om te blijven zitten</t>
  </si>
  <si>
    <t>DIVA_HI_2c4  Smoesjes verzinnen om even te kunnen lopen</t>
  </si>
  <si>
    <t>DIVA_HI_3c1 Altijd aan het rennen wanneer dit ongepast is</t>
  </si>
  <si>
    <t>DIVA_HI_3c2 Klimmen op meubels of springen op de bank</t>
  </si>
  <si>
    <t>DIVA_HI_3c3 In bomen klimmen</t>
  </si>
  <si>
    <t>DIVA_HI_3c4 Innerlijke rusteloosheid</t>
  </si>
  <si>
    <t>DIVA_HI_4c1 Luidruchtig zijn tijdens het spelen / in de klas</t>
  </si>
  <si>
    <t>DIVA_HI_4c2 Niet rustig naar TV of films kunnen kijken</t>
  </si>
  <si>
    <t>DIVA_HI_4c3 Opmerkingen rustiger/stiller te zijn</t>
  </si>
  <si>
    <t>DIVA_HI_4c4 In gezelschap snel haantje de voorste zijn</t>
  </si>
  <si>
    <t>DIVA_HI_5c1 Constant bezig zijn</t>
  </si>
  <si>
    <t>DIVA_HI_5c2 Anderen vinden je onrustig of vinden het moeilijk om je 
bij te houden</t>
  </si>
  <si>
    <t>DIVA_HI_5c3 Ongemak voelen bij te lang stilzitten</t>
  </si>
  <si>
    <t>DIVA_HI_5c4  Opmerkelijk actief op school en thuis zijn</t>
  </si>
  <si>
    <t>DIVA_HI_5c5 Veel energie hebben</t>
  </si>
  <si>
    <t>DIVA_HI_5c6 Drammen, doordraven</t>
  </si>
  <si>
    <t>DIVA_HI_6c1 Bekend staan als kletskous</t>
  </si>
  <si>
    <t>DIVA_HI_6c2 Leraren en ouders vragen vaak stil te zijn</t>
  </si>
  <si>
    <t>DIVA_HI_6c3 Opmerkingen in rapporten over veel praten</t>
  </si>
  <si>
    <t>DIVA_HI_6c4 Straf krijgen voor veel praten</t>
  </si>
  <si>
    <t>DIVA_HI_6c5 Anderen van schoolwerk afhouden door veel praten</t>
  </si>
  <si>
    <t>DIVA_HI_6c6 Anderen geen ruimte geven in een gesprek</t>
  </si>
  <si>
    <t>DIVA_HI_7c1 Een flapuit zijn, dingen zeggen zonder nadenken</t>
  </si>
  <si>
    <t>DIVA_HI_7c2 Als eerste vragen willen beantwoorden op school</t>
  </si>
  <si>
    <t>DIVA_HI_7c3  Het eerste antwoord eruit flappen, ook al is dit fout</t>
  </si>
  <si>
    <t>DIVA_HI_7c4 Anderen onderbreken voordat de zin is afgemaakt</t>
  </si>
  <si>
    <t>DIVA_HI_7c5 Kwetsend overkomen</t>
  </si>
  <si>
    <t>DIVA_HI_8c1 Moeite op beurt te wachten tijdens sport/spel</t>
  </si>
  <si>
    <t>DIVA_HI_8c2 Moeite op de beurt te wachten in de klas</t>
  </si>
  <si>
    <t>DIVA_HI_8c3 Altijd haantje de voorste zijn</t>
  </si>
  <si>
    <t>DIVA_HI_8c4 Snel ongeduldig zijn</t>
  </si>
  <si>
    <t>DIVA_HI_8c5 Moeite om op beurt te wachten in gesprekken</t>
  </si>
  <si>
    <t>DIVA_HI_8c4 Oversteken zonder uitkijken</t>
  </si>
  <si>
    <t>DIVA_HI_9c1 Inbreken in het spel of activiteiten van anderen</t>
  </si>
  <si>
    <t>DIVA_HI_9c2 Ongevraagd en zonder toestemming spullen van 
anderen gebruiken</t>
  </si>
  <si>
    <t>DIVA_HI_9c3 Gesprekken van anderen onderbreken</t>
  </si>
  <si>
    <t>DIVA_HI_9c4  Op alles reageren</t>
  </si>
  <si>
    <t>DIVA_HI_9c5 Niet kunnen wachten</t>
  </si>
  <si>
    <t>C1: Work/education</t>
  </si>
  <si>
    <t>C2: Relationships/family</t>
  </si>
  <si>
    <t>C3: Social contacts</t>
  </si>
  <si>
    <t>A4: Free time/hobby</t>
  </si>
  <si>
    <t>C5: Self-confidence</t>
  </si>
  <si>
    <t>DIVA_C_1v1 Opleiding(en) nodig voor werk niet afgemaakt</t>
  </si>
  <si>
    <t>DIVA_C_1v2 Werk beneden opleidingsniveau</t>
  </si>
  <si>
    <t>DIVA_C_1v3 Snel op een werkplek uitgekeken</t>
  </si>
  <si>
    <t>DIVA_C_1v4 Patroon van veel kortdurende banen</t>
  </si>
  <si>
    <t>DIVA_C_1v5 Moeite met administratieve werkzaamheden/planning</t>
  </si>
  <si>
    <t>DIVA_C_1v6 Geen promotie maken</t>
  </si>
  <si>
    <t>DIVA_C_1v7 Beneden kunnen presteren op werk</t>
  </si>
  <si>
    <t>DIVA_C_1v8 Met ruzie weggegaan of ontslagen zijn</t>
  </si>
  <si>
    <t>DIVA_C_1v9 Ziektewet/WIA als gevolg van klachten</t>
  </si>
  <si>
    <t>DIVA_C_1v10 Beperkt disfunctioneren door compensatie hoog IQ</t>
  </si>
  <si>
    <t>DIVA_C_2v1 Snel uitgekeken op relaties</t>
  </si>
  <si>
    <t>DIVA_C_2v2 Impulsief relaties aangaan / verbreken</t>
  </si>
  <si>
    <t>DIVA_C_2v3 Ongelijkwaardige relatie vanwege klachten</t>
  </si>
  <si>
    <t>DIVA_C_2v4 Relatieproblemen, veel ruzies, gebrek intimiteit</t>
  </si>
  <si>
    <t>DIVA_C_2v5 Gescheiden als gevolg van klachten</t>
  </si>
  <si>
    <t>DIVA_C_2v6 Problemen met seksualiteit als gevolg van klachten</t>
  </si>
  <si>
    <t>DIVA_C_2v7 Opvoedingsproblemen als gevolg van klachten</t>
  </si>
  <si>
    <t>DIVA_C_2v8 Moeite met huishouden en/of administratie</t>
  </si>
  <si>
    <t>DIVA_C_2v9 Financiële problemen / gokken</t>
  </si>
  <si>
    <t>DIVA_C_2v10 Geen relatie aan durven gaan</t>
  </si>
  <si>
    <t>DIVA_C_3v1 Snel uitgekeken zijn op sociale contacten</t>
  </si>
  <si>
    <t>DIVA_C_3v2 Moeite met onderhouden sociale contacten</t>
  </si>
  <si>
    <t>DIVA_C_3v3 Conflicten als gevolg van communicatieproblemen</t>
  </si>
  <si>
    <t>DIVA_C_3v4 Moeite met het aangaan van sociale contacten</t>
  </si>
  <si>
    <t>DIVA_C_3v5 Subassertief als gevolg van negatieve ervaringen</t>
  </si>
  <si>
    <t>DIVA_C_3v6 Niet attent zijn (vergeten kaart te sturen/meeleven/
bellen etc.)</t>
  </si>
  <si>
    <t>DIVA_C_4v1 Niet goed kunnen ontspannen in vrije tijd</t>
  </si>
  <si>
    <t>DIVA_C_4v2 Zeer veel moeten sporten om te kunnen ontspannen</t>
  </si>
  <si>
    <t>DIVA_C_4v3 Blessures als gevolg van vele sporten</t>
  </si>
  <si>
    <t>DIVA_C_4v4 Niet in staat zijn een boek uit te lezen of een film uit te 
kijken</t>
  </si>
  <si>
    <t>DIVA_C_4v5 Continu bezig zijn en hierdoor oververmoeid raken</t>
  </si>
  <si>
    <t>DIVA_C_4v6 Snel uitgekeken zijn op hobby’s</t>
  </si>
  <si>
    <t>DIVA_C_4v7 Ongelukken/rijbewijs kwijt door roekeloos rijgedrag</t>
  </si>
  <si>
    <t>DIVA_C_4v10 Eetbuien</t>
  </si>
  <si>
    <t>DIVA_C_4v9  Contact met politie/justitie</t>
  </si>
  <si>
    <t>DIVA_C_4v8 Sensation seeking en/of te veel risico’s nemen</t>
  </si>
  <si>
    <t>DIVA_C_5v1 Onzekerheid door negatieve opmerkingen anderen</t>
  </si>
  <si>
    <t>DIVA_C_5v2 Negatief zelfbeeld vanwege faalervaringen</t>
  </si>
  <si>
    <t>DIVA_C_5v3 Faalangstig om aan nieuwe zaken te beginnen</t>
  </si>
  <si>
    <t>DIVA_C_5v4 Overmatig heftig reageren op kritiek</t>
  </si>
  <si>
    <t>DIVA_C_5v5  Perfectionisme</t>
  </si>
  <si>
    <t>DIVA_C_5v6 Verdrietig door de symptomen van ADHD</t>
  </si>
  <si>
    <t>DIVA_C_1k1 Lager opleidingsniveau dan verwacht op basis van IQ</t>
  </si>
  <si>
    <t>DIVA_C_1k3 Opleiding(en) niet afgemaakt / van school gestuurd</t>
  </si>
  <si>
    <t>DIVA_C_1k4  Veel langer over opleiding gedaan dan gebruikelijk</t>
  </si>
  <si>
    <t>DIVA_C_1k5 Opleiding passend bij IQ met veel moeite behaald</t>
  </si>
  <si>
    <t>DIVA_C_1k6 Moeite met het maken van huiswerk</t>
  </si>
  <si>
    <t>DIVA_C_1k7  Speciaal onderwijs gevolgd vanwege klachten</t>
  </si>
  <si>
    <t>DIVA_C_1k8  Commentaar leerkrachten over gedrag / concentratie</t>
  </si>
  <si>
    <t>DIVA_C_1k9 Beperkt disfunctioneren door compensatie hoog IQ</t>
  </si>
  <si>
    <t>DIVA_C_1k10 Beperkt disfunctioneren door compensatie externe 
structuur</t>
  </si>
  <si>
    <t>DIVA_C_2k1  Vaak ruzie met broertjes / zusjes</t>
  </si>
  <si>
    <t>DIVA_C_2k2 Vaak straf / slaag</t>
  </si>
  <si>
    <t>DIVA_C_2k3 Weinig contact met familie vanwege conflicten</t>
  </si>
  <si>
    <t>DIVA_C_2k4 Langer structuur van ouders nodig dan normaal</t>
  </si>
  <si>
    <t>DIVA_C_3k1  Moeite met onderhouden van sociale contacten</t>
  </si>
  <si>
    <t>DIVA_C_3k2 Conflicten als gevolg van communicatieproblemen</t>
  </si>
  <si>
    <t>DIVA_C_3k3 Moeite met het aangaan van sociale contacten</t>
  </si>
  <si>
    <t>DIVA_C_3k4 Subassertief als gevolg van negatieve ervaringen</t>
  </si>
  <si>
    <t>DIVA_C_3k5 Weinig vriendjes / vriendinnetjes</t>
  </si>
  <si>
    <t>DIVA_C_3k6  Gepest zijn</t>
  </si>
  <si>
    <t>DIVA_C_3k7 Buitengesloten zijn / niet mee mogen doen met groep</t>
  </si>
  <si>
    <t>DIVA_C_3k8 Een pestkop zijn</t>
  </si>
  <si>
    <t>DIVA_C_4k1 Niet goed kunnen ontspannen in vrije tijd</t>
  </si>
  <si>
    <t>DIVA_C_4k2 Zeer veel moeten sporten om te kunnen ontspannen</t>
  </si>
  <si>
    <t>DIVA_C_4k3 Blessures als gevolg van vele sporten</t>
  </si>
  <si>
    <t>DIVA_C_4k4 Niet in staat zijn een boek uit te lezen of een film uit te 
kijken</t>
  </si>
  <si>
    <t>DIVA_C_4k5 Continu bezig zijn en hierdoor oververmoeid raken</t>
  </si>
  <si>
    <t>DIVA_C_4k6 Snel uitgekeken zijn op hobby’s</t>
  </si>
  <si>
    <t>DIVA_C_4k7  Sensation seeking en/of te veel risico’s nemen</t>
  </si>
  <si>
    <t>DIVA_C_4k8 Contact met politie/justitie</t>
  </si>
  <si>
    <t>DIVA_C_4k9 Vaak ongelukken</t>
  </si>
  <si>
    <t>DIVA_C_5k1 Onzekerheid door negatieve opmerkingen anderen</t>
  </si>
  <si>
    <t>DIVA_C_5k2 Negatief zelfbeeld vanwege faalervaringen</t>
  </si>
  <si>
    <t>DIVA_C_5k3 Faalangstig om aan nieuwe zaken te beginnen</t>
  </si>
  <si>
    <t>DIVA_C_5k4 Overmatig heftig reageren op kritiek</t>
  </si>
  <si>
    <t>DIVA_C_5k5 Perfectionisme</t>
  </si>
  <si>
    <t>DIVA_C_1k 2 Doublure(s) als gevolg van concentratieproblemen</t>
  </si>
  <si>
    <t>χ2</t>
  </si>
  <si>
    <t>φ</t>
  </si>
  <si>
    <t>Frequency Men</t>
  </si>
  <si>
    <t>Frequency Women</t>
  </si>
  <si>
    <t>Percent Men</t>
  </si>
  <si>
    <t>Percent Women</t>
  </si>
  <si>
    <t>Expected Freq Men</t>
  </si>
  <si>
    <t>Expected Freq Women</t>
  </si>
  <si>
    <t>Total Percent</t>
  </si>
  <si>
    <t>Total Selections Women</t>
  </si>
  <si>
    <t>Total Frequency</t>
  </si>
  <si>
    <t>Total Selections Men</t>
  </si>
  <si>
    <t>Grand Total</t>
  </si>
  <si>
    <r>
      <rPr>
        <b/>
        <i/>
        <sz val="10"/>
        <color theme="1"/>
        <rFont val="Arial"/>
        <family val="2"/>
      </rPr>
      <t>p</t>
    </r>
    <r>
      <rPr>
        <b/>
        <sz val="10"/>
        <color theme="1"/>
        <rFont val="Arial"/>
        <family val="2"/>
      </rPr>
      <t>-value</t>
    </r>
  </si>
  <si>
    <t>English translation</t>
  </si>
  <si>
    <t>Works slowly to avoid mistakes</t>
  </si>
  <si>
    <t>Work is inaccurate</t>
  </si>
  <si>
    <t>Does not read instructions carefully</t>
  </si>
  <si>
    <t>Overlooks or misses details</t>
  </si>
  <si>
    <t>Too much time needed to complete detailed tasks</t>
  </si>
  <si>
    <t>Gets easily bogged down by details</t>
  </si>
  <si>
    <t>Works too quickly and therefore makes mistakes</t>
  </si>
  <si>
    <t>Not able to keep attention on tasks for long</t>
  </si>
  <si>
    <t>Quickly distracted by own thoughts or associations</t>
  </si>
  <si>
    <t>Easily distracted by unrelated thoughts</t>
  </si>
  <si>
    <t>Difficulty remaining focused during lectures and/or conversations</t>
  </si>
  <si>
    <t>Quickly becomes bored with things</t>
  </si>
  <si>
    <t>Asks questions about subjects that have already been discussed</t>
  </si>
  <si>
    <t xml:space="preserve">Dreamy or preoccupied </t>
  </si>
  <si>
    <t>Difficulty concentrating on a conversation</t>
  </si>
  <si>
    <t>Afterwards, not knowing what a conversation was about</t>
  </si>
  <si>
    <t xml:space="preserve">Often changing the subject of the conversation </t>
  </si>
  <si>
    <t>Others saying that your thoughts are somewhere else</t>
  </si>
  <si>
    <t>Mind seems elsewhere, even in the absence of any obvious distraction</t>
  </si>
  <si>
    <t>Does things that are muddled up together without completing them</t>
  </si>
  <si>
    <t>Needing a time limit to complete tasks</t>
  </si>
  <si>
    <t>Difficulty completing administrative tasks</t>
  </si>
  <si>
    <t>Difficultly following instructions from a manual</t>
  </si>
  <si>
    <t>Difficultly with planning activities of daily life</t>
  </si>
  <si>
    <t xml:space="preserve"> Difficulty managing sequential tasks</t>
  </si>
  <si>
    <t xml:space="preserve"> Difficulty keeping materials and belongings in order</t>
  </si>
  <si>
    <t xml:space="preserve"> Works messy and disorganized</t>
  </si>
  <si>
    <t xml:space="preserve"> Planning too many tasks or non-efficient planning</t>
  </si>
  <si>
    <t xml:space="preserve"> Regularly booking things to take place at the same time (double-booking)</t>
  </si>
  <si>
    <t xml:space="preserve"> Arriving late</t>
  </si>
  <si>
    <t xml:space="preserve">Do the easiest or nicest things first of all </t>
  </si>
  <si>
    <t xml:space="preserve"> Avoids preparing reports, completing forms, or reviewing lengthy papers</t>
  </si>
  <si>
    <t>Difficulty shutting off from external stimuli</t>
  </si>
  <si>
    <t xml:space="preserve"> Easily distracted by noises or events</t>
  </si>
  <si>
    <t xml:space="preserve"> Easily distracted by the conversations of others</t>
  </si>
  <si>
    <t xml:space="preserve"> Needs frequent reminders for appointments</t>
  </si>
  <si>
    <t xml:space="preserve"> Forgets to pay bills or to return calls</t>
  </si>
  <si>
    <t xml:space="preserve"> Returning home to fetch forgotten things</t>
  </si>
  <si>
    <t xml:space="preserve"> Rigid use of lists to make sure things aren’t forgotten</t>
  </si>
  <si>
    <t xml:space="preserve"> Able to control restlessness, but feels stressed as a result</t>
  </si>
  <si>
    <t>Often leaves his/her place in the office or in the workplace</t>
  </si>
  <si>
    <t>Talks during activities when this is not appropriate</t>
  </si>
  <si>
    <t xml:space="preserve"> Becoming quickly too cocky in public</t>
  </si>
  <si>
    <t xml:space="preserve"> Difficulty doing activities quietly</t>
  </si>
  <si>
    <t xml:space="preserve"> Has too much energy, always on the move</t>
  </si>
  <si>
    <t xml:space="preserve"> Others find you restless or difficult to keep up with</t>
  </si>
  <si>
    <t xml:space="preserve"> Stepping over own boundaries</t>
  </si>
  <si>
    <t>So busy talking that other people find it tiring</t>
  </si>
  <si>
    <t xml:space="preserve"> Finds it difficult to stop talking</t>
  </si>
  <si>
    <t xml:space="preserve"> Tendency to talk too much</t>
  </si>
  <si>
    <t xml:space="preserve"> Not giving others room to interject during a conversation</t>
  </si>
  <si>
    <t xml:space="preserve"> Needing a lot of words to say something</t>
  </si>
  <si>
    <t xml:space="preserve"> Being tactless</t>
  </si>
  <si>
    <t xml:space="preserve"> Intrudes on others</t>
  </si>
  <si>
    <t>Finds it difficult to watch a film through to the end, or to read a book</t>
  </si>
  <si>
    <t>Starts tasks but quickly loses focus and is easily sidetracked</t>
  </si>
  <si>
    <t xml:space="preserve"> Overlooks or misses details</t>
  </si>
  <si>
    <t xml:space="preserve"> Work is inaccurate</t>
  </si>
  <si>
    <t xml:space="preserve"> Others comment about careless work</t>
  </si>
  <si>
    <t>Difficulty keeping attention on schoolwork</t>
  </si>
  <si>
    <t xml:space="preserve"> Difficulty remaining focused during lectures and/or conversations</t>
  </si>
  <si>
    <t xml:space="preserve"> Only listening during eye contact or when a voice is raised</t>
  </si>
  <si>
    <t xml:space="preserve"> Mind seems elsewhere, even in the absence of any obvious distraction</t>
  </si>
  <si>
    <t xml:space="preserve"> Difficultly being ready on time</t>
  </si>
  <si>
    <t xml:space="preserve"> Messy room / desk and/or work</t>
  </si>
  <si>
    <t xml:space="preserve"> Difficultly playing alone</t>
  </si>
  <si>
    <t xml:space="preserve"> Difficulty planning tasks or homework</t>
  </si>
  <si>
    <t xml:space="preserve"> Poor sense of time </t>
  </si>
  <si>
    <t xml:space="preserve"> Difficulty keeping himself/herself entertained</t>
  </si>
  <si>
    <t xml:space="preserve"> Reads few books or does not feel like reading due to mental effort</t>
  </si>
  <si>
    <t xml:space="preserve"> Often postpones boring or difficult tasks.</t>
  </si>
  <si>
    <t>Loses school materials, pencils, books, or other items</t>
  </si>
  <si>
    <t xml:space="preserve"> Mislays toys, clothing, or homework</t>
  </si>
  <si>
    <t xml:space="preserve">In the classroom, often looking outside </t>
  </si>
  <si>
    <t xml:space="preserve"> After being distracted, has difficultly picking up the thread again</t>
  </si>
  <si>
    <t xml:space="preserve"> Making excuses in order to walk around </t>
  </si>
  <si>
    <t>Being loud-spoken during play or in the classroom</t>
  </si>
  <si>
    <t xml:space="preserve"> Unable to watch TV or films quietly</t>
  </si>
  <si>
    <t xml:space="preserve"> Asked to be quieter or calm down</t>
  </si>
  <si>
    <t>Constantly busy</t>
  </si>
  <si>
    <t xml:space="preserve"> Is uncomfortable being still for extended time</t>
  </si>
  <si>
    <t xml:space="preserve"> Always on the go, excessively driven</t>
  </si>
  <si>
    <t xml:space="preserve"> Becomes quickly impatient</t>
  </si>
  <si>
    <t xml:space="preserve"> Crosses the road without looking</t>
  </si>
  <si>
    <t>Interrupts the games or activities of others</t>
  </si>
  <si>
    <t xml:space="preserve"> Unable to wait</t>
  </si>
  <si>
    <t xml:space="preserve"> Limited impairment through compensation of high IQ</t>
  </si>
  <si>
    <t xml:space="preserve"> Limited impairment through compensation of external structure </t>
  </si>
  <si>
    <t xml:space="preserve"> Impulsively commencing/ending relationships</t>
  </si>
  <si>
    <t xml:space="preserve"> Not daring to start a relationship</t>
  </si>
  <si>
    <t xml:space="preserve"> Low self-assertiveness as a result of negative experiences</t>
  </si>
  <si>
    <t>Unable to relax properly during free time</t>
  </si>
  <si>
    <t xml:space="preserve"> Injuries as a result of excessive sport</t>
  </si>
  <si>
    <t>Uncertainty through negative comments of others</t>
  </si>
  <si>
    <t xml:space="preserve"> Distressed by the symptoms of ADHD</t>
  </si>
  <si>
    <t>Frequent arguments with brothers or sisters</t>
  </si>
  <si>
    <t xml:space="preserve"> Few friends</t>
  </si>
  <si>
    <t xml:space="preserve"> Being teased</t>
  </si>
  <si>
    <t xml:space="preserve"> Shut out by, or not being allowed, to do things with a group</t>
  </si>
  <si>
    <t xml:space="preserve"> Being a bully</t>
  </si>
  <si>
    <t xml:space="preserve"> Unable to relax properly during free time</t>
  </si>
  <si>
    <t xml:space="preserve"> Having to play lots of sport to be able to relax</t>
  </si>
  <si>
    <t xml:space="preserve"> Unable to finish a book or watch a film all the way through</t>
  </si>
  <si>
    <t xml:space="preserve"> Being continually busy and therefore becoming overtired</t>
  </si>
  <si>
    <t xml:space="preserve"> Tired quickly of hobbies</t>
  </si>
  <si>
    <t xml:space="preserve"> Sensation seeking and/or taking too many risks</t>
  </si>
  <si>
    <t xml:space="preserve"> Contact with the police/courts</t>
  </si>
  <si>
    <t xml:space="preserve">  Increased number of accidents</t>
  </si>
  <si>
    <r>
      <t>M</t>
    </r>
    <r>
      <rPr>
        <sz val="10"/>
        <color theme="1"/>
        <rFont val="Arial"/>
        <family val="2"/>
      </rPr>
      <t>akes careless mistakes</t>
    </r>
  </si>
  <si>
    <r>
      <t xml:space="preserve"> </t>
    </r>
    <r>
      <rPr>
        <sz val="10"/>
        <color theme="1"/>
        <rFont val="Arial"/>
        <family val="2"/>
      </rPr>
      <t>House and/or workplace are disorganised</t>
    </r>
  </si>
  <si>
    <r>
      <t xml:space="preserve"> </t>
    </r>
    <r>
      <rPr>
        <sz val="10"/>
        <color theme="1"/>
        <rFont val="Arial"/>
        <family val="2"/>
      </rPr>
      <t>Fails to meet deadlines</t>
    </r>
  </si>
  <si>
    <r>
      <t xml:space="preserve"> </t>
    </r>
    <r>
      <rPr>
        <sz val="10"/>
        <color theme="1"/>
        <rFont val="Arial"/>
        <family val="2"/>
      </rPr>
      <t>Not able to use an agenda or diary consistently</t>
    </r>
  </si>
  <si>
    <r>
      <t xml:space="preserve"> </t>
    </r>
    <r>
      <rPr>
        <sz val="10"/>
        <color theme="1"/>
        <rFont val="Arial"/>
        <family val="2"/>
      </rPr>
      <t>Inflexible because of the need to keep to schedules</t>
    </r>
  </si>
  <si>
    <r>
      <t xml:space="preserve"> </t>
    </r>
    <r>
      <rPr>
        <sz val="10"/>
        <color theme="1"/>
        <rFont val="Arial"/>
        <family val="2"/>
      </rPr>
      <t>Poor sense and management of time</t>
    </r>
  </si>
  <si>
    <r>
      <t xml:space="preserve"> </t>
    </r>
    <r>
      <rPr>
        <sz val="10"/>
        <color theme="1"/>
        <rFont val="Arial"/>
        <family val="2"/>
      </rPr>
      <t>Creating schedules but not using them</t>
    </r>
  </si>
  <si>
    <r>
      <t xml:space="preserve"> </t>
    </r>
    <r>
      <rPr>
        <sz val="10"/>
        <color theme="1"/>
        <rFont val="Arial"/>
        <family val="2"/>
      </rPr>
      <t>Needing other people to structure things</t>
    </r>
  </si>
  <si>
    <r>
      <t xml:space="preserve"> </t>
    </r>
    <r>
      <rPr>
        <sz val="10"/>
        <color theme="1"/>
        <rFont val="Arial"/>
        <family val="2"/>
      </rPr>
      <t>Often postpone boring or difficult tasks</t>
    </r>
  </si>
  <si>
    <r>
      <t xml:space="preserve"> </t>
    </r>
    <r>
      <rPr>
        <sz val="10"/>
        <color theme="1"/>
        <rFont val="Arial"/>
        <family val="2"/>
      </rPr>
      <t>Postpone tasks so that deadlines are missed</t>
    </r>
  </si>
  <si>
    <r>
      <t xml:space="preserve"> </t>
    </r>
    <r>
      <rPr>
        <sz val="10"/>
        <color theme="1"/>
        <rFont val="Arial"/>
        <family val="2"/>
      </rPr>
      <t>Avoid monotonous work, such as administration</t>
    </r>
  </si>
  <si>
    <r>
      <t xml:space="preserve"> </t>
    </r>
    <r>
      <rPr>
        <sz val="10"/>
        <color theme="1"/>
        <rFont val="Arial"/>
        <family val="2"/>
      </rPr>
      <t>Do not like reading due to mental effort</t>
    </r>
  </si>
  <si>
    <r>
      <t xml:space="preserve"> </t>
    </r>
    <r>
      <rPr>
        <sz val="10"/>
        <color theme="1"/>
        <rFont val="Arial"/>
        <family val="2"/>
      </rPr>
      <t xml:space="preserve">Avoidance of tasks that require a lot of concentration </t>
    </r>
  </si>
  <si>
    <r>
      <t>Mislays</t>
    </r>
    <r>
      <rPr>
        <sz val="10"/>
        <color theme="1"/>
        <rFont val="Arial"/>
        <family val="2"/>
      </rPr>
      <t xml:space="preserve"> tools, paperwork, eyeglasses, mobile telephones, wallet, keys, or agenda</t>
    </r>
  </si>
  <si>
    <r>
      <t xml:space="preserve"> </t>
    </r>
    <r>
      <rPr>
        <sz val="10"/>
        <color theme="1"/>
        <rFont val="Arial"/>
        <family val="2"/>
      </rPr>
      <t xml:space="preserve">Often leaves things behind </t>
    </r>
  </si>
  <si>
    <r>
      <t xml:space="preserve"> </t>
    </r>
    <r>
      <rPr>
        <sz val="10"/>
        <color theme="1"/>
        <rFont val="Arial"/>
        <family val="2"/>
      </rPr>
      <t>Loses papers for work</t>
    </r>
  </si>
  <si>
    <r>
      <t xml:space="preserve"> </t>
    </r>
    <r>
      <rPr>
        <sz val="10"/>
        <color theme="1"/>
        <rFont val="Arial"/>
        <family val="2"/>
      </rPr>
      <t>Loses a lot of time searching for things</t>
    </r>
  </si>
  <si>
    <r>
      <t xml:space="preserve"> </t>
    </r>
    <r>
      <rPr>
        <sz val="10"/>
        <color theme="1"/>
        <rFont val="Arial"/>
        <family val="2"/>
      </rPr>
      <t>Stores things away in the wrong place</t>
    </r>
  </si>
  <si>
    <r>
      <t xml:space="preserve"> </t>
    </r>
    <r>
      <rPr>
        <sz val="10"/>
        <color theme="1"/>
        <rFont val="Arial"/>
        <family val="2"/>
      </rPr>
      <t>Loses notes, lists or telephone numbers</t>
    </r>
  </si>
  <si>
    <r>
      <t xml:space="preserve"> </t>
    </r>
    <r>
      <rPr>
        <sz val="10"/>
        <color theme="1"/>
        <rFont val="Arial"/>
        <family val="2"/>
      </rPr>
      <t>After being distracted, difficult to pick up the thread again</t>
    </r>
  </si>
  <si>
    <r>
      <t xml:space="preserve"> </t>
    </r>
    <r>
      <rPr>
        <sz val="10"/>
        <color theme="1"/>
        <rFont val="Arial"/>
        <family val="2"/>
      </rPr>
      <t>Difficulty in filtering and/or selecting information</t>
    </r>
  </si>
  <si>
    <r>
      <t xml:space="preserve"> </t>
    </r>
    <r>
      <rPr>
        <sz val="10"/>
        <color theme="1"/>
        <rFont val="Arial"/>
        <family val="2"/>
      </rPr>
      <t>Forgets appointments or other obligations</t>
    </r>
  </si>
  <si>
    <r>
      <t xml:space="preserve"> </t>
    </r>
    <r>
      <rPr>
        <sz val="10"/>
        <color theme="1"/>
        <rFont val="Arial"/>
        <family val="2"/>
      </rPr>
      <t xml:space="preserve">Forgets keys, agenda etc. </t>
    </r>
  </si>
  <si>
    <r>
      <t xml:space="preserve"> </t>
    </r>
    <r>
      <rPr>
        <sz val="10"/>
        <color theme="1"/>
        <rFont val="Arial"/>
        <family val="2"/>
      </rPr>
      <t>Difficulty sitting still</t>
    </r>
  </si>
  <si>
    <r>
      <t xml:space="preserve"> </t>
    </r>
    <r>
      <rPr>
        <sz val="10"/>
        <color theme="1"/>
        <rFont val="Arial"/>
        <family val="2"/>
      </rPr>
      <t>Fidgets with the legs</t>
    </r>
  </si>
  <si>
    <r>
      <t xml:space="preserve"> </t>
    </r>
    <r>
      <rPr>
        <sz val="10"/>
        <color theme="1"/>
        <rFont val="Arial"/>
        <family val="2"/>
      </rPr>
      <t>Tapping with a pen or playing with something</t>
    </r>
  </si>
  <si>
    <r>
      <t xml:space="preserve"> </t>
    </r>
    <r>
      <rPr>
        <sz val="10"/>
        <color theme="1"/>
        <rFont val="Arial"/>
        <family val="2"/>
      </rPr>
      <t>Fiddling with hair or biting nails</t>
    </r>
  </si>
  <si>
    <r>
      <t xml:space="preserve"> </t>
    </r>
    <r>
      <rPr>
        <sz val="10"/>
        <color theme="1"/>
        <rFont val="Arial"/>
        <family val="2"/>
      </rPr>
      <t>Avoids symposiums, lectures, church etc.</t>
    </r>
  </si>
  <si>
    <r>
      <t xml:space="preserve"> </t>
    </r>
    <r>
      <rPr>
        <sz val="10"/>
        <color theme="1"/>
        <rFont val="Arial"/>
        <family val="2"/>
      </rPr>
      <t>Prefers to walk around rather than sit</t>
    </r>
  </si>
  <si>
    <r>
      <t xml:space="preserve"> </t>
    </r>
    <r>
      <rPr>
        <sz val="10"/>
        <color theme="1"/>
        <rFont val="Arial"/>
        <family val="2"/>
      </rPr>
      <t>Never sits still for long, always moving around</t>
    </r>
  </si>
  <si>
    <r>
      <t xml:space="preserve"> </t>
    </r>
    <r>
      <rPr>
        <sz val="10"/>
        <color theme="1"/>
        <rFont val="Arial"/>
        <family val="2"/>
      </rPr>
      <t>Stressed owing to the difficulty of sitting still</t>
    </r>
  </si>
  <si>
    <r>
      <t xml:space="preserve"> </t>
    </r>
    <r>
      <rPr>
        <sz val="10"/>
        <color theme="1"/>
        <rFont val="Arial"/>
        <family val="2"/>
      </rPr>
      <t>Makes excuses in order to be able to walk around</t>
    </r>
  </si>
  <si>
    <r>
      <t xml:space="preserve"> </t>
    </r>
    <r>
      <rPr>
        <sz val="10"/>
        <color theme="1"/>
        <rFont val="Arial"/>
        <family val="2"/>
      </rPr>
      <t>Feeling restless or agitated inside</t>
    </r>
  </si>
  <si>
    <r>
      <t xml:space="preserve"> </t>
    </r>
    <r>
      <rPr>
        <sz val="10"/>
        <color theme="1"/>
        <rFont val="Arial"/>
        <family val="2"/>
      </rPr>
      <t>Constantly having the feeling that you have to be doing something</t>
    </r>
  </si>
  <si>
    <r>
      <t xml:space="preserve"> </t>
    </r>
    <r>
      <rPr>
        <sz val="10"/>
        <color theme="1"/>
        <rFont val="Arial"/>
        <family val="2"/>
      </rPr>
      <t>Finding it hard to relax</t>
    </r>
  </si>
  <si>
    <r>
      <t xml:space="preserve"> </t>
    </r>
    <r>
      <rPr>
        <sz val="10"/>
        <color theme="1"/>
        <rFont val="Arial"/>
        <family val="2"/>
      </rPr>
      <t>Being loud in all kinds of situations</t>
    </r>
  </si>
  <si>
    <r>
      <t xml:space="preserve"> </t>
    </r>
    <r>
      <rPr>
        <sz val="10"/>
        <color theme="1"/>
        <rFont val="Arial"/>
        <family val="2"/>
      </rPr>
      <t>Difficultly in speaking softly</t>
    </r>
  </si>
  <si>
    <r>
      <t xml:space="preserve"> </t>
    </r>
    <r>
      <rPr>
        <sz val="10"/>
        <color theme="1"/>
        <rFont val="Arial"/>
        <family val="2"/>
      </rPr>
      <t>Always busy doing something</t>
    </r>
  </si>
  <si>
    <r>
      <t xml:space="preserve"> </t>
    </r>
    <r>
      <rPr>
        <sz val="10"/>
        <color theme="1"/>
        <rFont val="Arial"/>
        <family val="2"/>
      </rPr>
      <t>Is uncomfortable being still for extended time, e.g. in restaurants or meetings</t>
    </r>
  </si>
  <si>
    <r>
      <t xml:space="preserve"> </t>
    </r>
    <r>
      <rPr>
        <sz val="10"/>
        <color theme="1"/>
        <rFont val="Arial"/>
        <family val="2"/>
      </rPr>
      <t>Finds it difficult to let things go, excessively driven</t>
    </r>
  </si>
  <si>
    <r>
      <t xml:space="preserve"> </t>
    </r>
    <r>
      <rPr>
        <sz val="10"/>
        <color theme="1"/>
        <rFont val="Arial"/>
        <family val="2"/>
      </rPr>
      <t>Known to be an incessant talker</t>
    </r>
  </si>
  <si>
    <r>
      <t xml:space="preserve"> </t>
    </r>
    <r>
      <rPr>
        <sz val="10"/>
        <color theme="1"/>
        <rFont val="Arial"/>
        <family val="2"/>
      </rPr>
      <t>Being a blabbermouth, saying what you think</t>
    </r>
  </si>
  <si>
    <r>
      <t xml:space="preserve"> </t>
    </r>
    <r>
      <rPr>
        <sz val="10"/>
        <color theme="1"/>
        <rFont val="Arial"/>
        <family val="2"/>
      </rPr>
      <t>Saying things without thinking first</t>
    </r>
  </si>
  <si>
    <r>
      <t xml:space="preserve"> </t>
    </r>
    <r>
      <rPr>
        <sz val="10"/>
        <color theme="1"/>
        <rFont val="Arial"/>
        <family val="2"/>
      </rPr>
      <t>Giving people answers before they have finished speaking</t>
    </r>
  </si>
  <si>
    <r>
      <t xml:space="preserve"> </t>
    </r>
    <r>
      <rPr>
        <sz val="10"/>
        <color theme="1"/>
        <rFont val="Arial"/>
        <family val="2"/>
      </rPr>
      <t>Completing other people’s sentences</t>
    </r>
  </si>
  <si>
    <r>
      <t xml:space="preserve"> </t>
    </r>
    <r>
      <rPr>
        <sz val="10"/>
        <color theme="1"/>
        <rFont val="Arial"/>
        <family val="2"/>
      </rPr>
      <t>Difficulty waiting in a queue, jumping the queue</t>
    </r>
  </si>
  <si>
    <r>
      <t xml:space="preserve"> </t>
    </r>
    <r>
      <rPr>
        <sz val="10"/>
        <color theme="1"/>
        <rFont val="Arial"/>
        <family val="2"/>
      </rPr>
      <t>Difficulty in patiently waiting in the traffic/traffic jams</t>
    </r>
  </si>
  <si>
    <r>
      <t xml:space="preserve"> </t>
    </r>
    <r>
      <rPr>
        <sz val="10"/>
        <color theme="1"/>
        <rFont val="Arial"/>
        <family val="2"/>
      </rPr>
      <t>Being impatient</t>
    </r>
  </si>
  <si>
    <r>
      <t xml:space="preserve"> </t>
    </r>
    <r>
      <rPr>
        <sz val="10"/>
        <color theme="1"/>
        <rFont val="Arial"/>
        <family val="2"/>
      </rPr>
      <t>Quickly starting relationships/jobs, or ending/leaving these because of impatience</t>
    </r>
  </si>
  <si>
    <r>
      <t xml:space="preserve"> </t>
    </r>
    <r>
      <rPr>
        <sz val="10"/>
        <color theme="1"/>
        <rFont val="Arial"/>
        <family val="2"/>
      </rPr>
      <t>Being quick to interfere with others</t>
    </r>
  </si>
  <si>
    <r>
      <t xml:space="preserve"> </t>
    </r>
    <r>
      <rPr>
        <sz val="10"/>
        <color theme="1"/>
        <rFont val="Arial"/>
        <family val="2"/>
      </rPr>
      <t>Disturbs other people’s activities without being asked, or takes over their tasks</t>
    </r>
  </si>
  <si>
    <r>
      <t xml:space="preserve"> </t>
    </r>
    <r>
      <rPr>
        <sz val="10"/>
        <color theme="1"/>
        <rFont val="Arial"/>
        <family val="2"/>
      </rPr>
      <t>Comments from others about interference</t>
    </r>
  </si>
  <si>
    <r>
      <t xml:space="preserve"> </t>
    </r>
    <r>
      <rPr>
        <sz val="10"/>
        <color theme="1"/>
        <rFont val="Arial"/>
        <family val="2"/>
      </rPr>
      <t>Difficulty respecting the boundaries of others</t>
    </r>
  </si>
  <si>
    <r>
      <t xml:space="preserve"> </t>
    </r>
    <r>
      <rPr>
        <sz val="10"/>
        <color theme="1"/>
        <rFont val="Arial"/>
        <family val="2"/>
      </rPr>
      <t>Having an opinion about everything and immediately expressing this</t>
    </r>
  </si>
  <si>
    <t xml:space="preserve"> Forgets to keep or look at daily agenda</t>
  </si>
  <si>
    <t xml:space="preserve"> Forgets to do chores or run errands</t>
  </si>
  <si>
    <t>Fails to meet deadlines</t>
  </si>
  <si>
    <t>Doing things in a muddled way</t>
  </si>
  <si>
    <t>Arriving late</t>
  </si>
  <si>
    <t xml:space="preserve"> Gets in a panic if other people move things around</t>
  </si>
  <si>
    <t>Coming across as being tactless</t>
  </si>
  <si>
    <t>DIVA_A2a4 Problemen geconcentreerd te blijven tijdens een gesprek of bij het lezen van een lange tekst</t>
  </si>
  <si>
    <t>Difficulty waiting your turn during conversations</t>
  </si>
  <si>
    <r>
      <t xml:space="preserve"> </t>
    </r>
    <r>
      <rPr>
        <sz val="10"/>
        <color theme="1"/>
        <rFont val="Arial"/>
        <family val="2"/>
      </rPr>
      <t>Lower educational level than expected based on IQ</t>
    </r>
  </si>
  <si>
    <r>
      <t xml:space="preserve"> </t>
    </r>
    <r>
      <rPr>
        <sz val="10"/>
        <color theme="1"/>
        <rFont val="Arial"/>
        <family val="2"/>
      </rPr>
      <t>Staying back (repeating classes) as a result of concentration problems</t>
    </r>
  </si>
  <si>
    <r>
      <t xml:space="preserve"> </t>
    </r>
    <r>
      <rPr>
        <sz val="10"/>
        <color theme="1"/>
        <rFont val="Arial"/>
        <family val="2"/>
      </rPr>
      <t>Education not completed / rejected from school</t>
    </r>
  </si>
  <si>
    <r>
      <t xml:space="preserve"> </t>
    </r>
    <r>
      <rPr>
        <sz val="10"/>
        <color theme="1"/>
        <rFont val="Arial"/>
        <family val="2"/>
      </rPr>
      <t>Took much longer to complete education than usual</t>
    </r>
  </si>
  <si>
    <r>
      <t xml:space="preserve"> </t>
    </r>
    <r>
      <rPr>
        <sz val="10"/>
        <color theme="1"/>
        <rFont val="Arial"/>
        <family val="2"/>
      </rPr>
      <t>Achieved education suited to IQ with a lot of effort</t>
    </r>
  </si>
  <si>
    <r>
      <t xml:space="preserve"> </t>
    </r>
    <r>
      <rPr>
        <sz val="10"/>
        <color theme="1"/>
        <rFont val="Arial"/>
        <family val="2"/>
      </rPr>
      <t>Difficulty doing homework</t>
    </r>
  </si>
  <si>
    <r>
      <t xml:space="preserve"> </t>
    </r>
    <r>
      <rPr>
        <sz val="10"/>
        <color theme="1"/>
        <rFont val="Arial"/>
        <family val="2"/>
      </rPr>
      <t>Followed special education on account of symptoms</t>
    </r>
  </si>
  <si>
    <r>
      <t xml:space="preserve"> </t>
    </r>
    <r>
      <rPr>
        <sz val="10"/>
        <color theme="1"/>
        <rFont val="Arial"/>
        <family val="2"/>
      </rPr>
      <t>Comments from teachers about behaviour or concentration</t>
    </r>
  </si>
  <si>
    <r>
      <t xml:space="preserve"> </t>
    </r>
    <r>
      <rPr>
        <sz val="10"/>
        <color theme="1"/>
        <rFont val="Arial"/>
        <family val="2"/>
      </rPr>
      <t>Limited impairment through compensation of high IQ</t>
    </r>
  </si>
  <si>
    <r>
      <t xml:space="preserve"> </t>
    </r>
    <r>
      <rPr>
        <sz val="10"/>
        <color theme="1"/>
        <rFont val="Arial"/>
        <family val="2"/>
      </rPr>
      <t>Limited impairment through compensation of external structure</t>
    </r>
  </si>
  <si>
    <r>
      <t xml:space="preserve"> </t>
    </r>
    <r>
      <rPr>
        <sz val="10"/>
        <color theme="1"/>
        <rFont val="Arial"/>
        <family val="2"/>
      </rPr>
      <t>Frequent punishment or hiding</t>
    </r>
  </si>
  <si>
    <r>
      <t xml:space="preserve"> </t>
    </r>
    <r>
      <rPr>
        <sz val="10"/>
        <color theme="1"/>
        <rFont val="Arial"/>
        <family val="2"/>
      </rPr>
      <t>Little contact with family on account of conflicts</t>
    </r>
  </si>
  <si>
    <r>
      <t xml:space="preserve"> </t>
    </r>
    <r>
      <rPr>
        <sz val="10"/>
        <color theme="1"/>
        <rFont val="Arial"/>
        <family val="2"/>
      </rPr>
      <t>Required structure from parents for a longer period than would normally be the case</t>
    </r>
  </si>
  <si>
    <r>
      <t xml:space="preserve"> </t>
    </r>
    <r>
      <rPr>
        <sz val="10"/>
        <color theme="1"/>
        <rFont val="Arial"/>
        <family val="2"/>
      </rPr>
      <t>Difficultly maintaining social contacts</t>
    </r>
  </si>
  <si>
    <r>
      <t xml:space="preserve"> </t>
    </r>
    <r>
      <rPr>
        <sz val="10"/>
        <color theme="1"/>
        <rFont val="Arial"/>
        <family val="2"/>
      </rPr>
      <t>Conflicts as a result of communication problems</t>
    </r>
  </si>
  <si>
    <r>
      <t xml:space="preserve"> </t>
    </r>
    <r>
      <rPr>
        <sz val="10"/>
        <color theme="1"/>
        <rFont val="Arial"/>
        <family val="2"/>
      </rPr>
      <t>Difficultly entering into social contacts</t>
    </r>
  </si>
  <si>
    <r>
      <t xml:space="preserve"> </t>
    </r>
    <r>
      <rPr>
        <sz val="10"/>
        <color theme="1"/>
        <rFont val="Arial"/>
        <family val="2"/>
      </rPr>
      <t>Negative self-image due to experiences of failure</t>
    </r>
  </si>
  <si>
    <r>
      <t xml:space="preserve"> </t>
    </r>
    <r>
      <rPr>
        <sz val="10"/>
        <color theme="1"/>
        <rFont val="Arial"/>
        <family val="2"/>
      </rPr>
      <t>Fear of failure in terms of starting new things</t>
    </r>
  </si>
  <si>
    <r>
      <t xml:space="preserve"> </t>
    </r>
    <r>
      <rPr>
        <sz val="10"/>
        <color theme="1"/>
        <rFont val="Arial"/>
        <family val="2"/>
      </rPr>
      <t>Excessive intense reaction to criticism</t>
    </r>
  </si>
  <si>
    <r>
      <t xml:space="preserve"> </t>
    </r>
    <r>
      <rPr>
        <sz val="10"/>
        <color theme="1"/>
        <rFont val="Arial"/>
        <family val="2"/>
      </rPr>
      <t>Perfectionism</t>
    </r>
  </si>
  <si>
    <r>
      <t xml:space="preserve"> </t>
    </r>
    <r>
      <rPr>
        <sz val="10"/>
        <color theme="1"/>
        <rFont val="Arial"/>
        <family val="2"/>
      </rPr>
      <t>Did not complete education/training needed for work</t>
    </r>
  </si>
  <si>
    <r>
      <t xml:space="preserve"> </t>
    </r>
    <r>
      <rPr>
        <sz val="10"/>
        <color theme="1"/>
        <rFont val="Arial"/>
        <family val="2"/>
      </rPr>
      <t>Work below level of education</t>
    </r>
  </si>
  <si>
    <r>
      <t xml:space="preserve"> </t>
    </r>
    <r>
      <rPr>
        <sz val="10"/>
        <color theme="1"/>
        <rFont val="Arial"/>
        <family val="2"/>
      </rPr>
      <t>Tire quickly of a workplace</t>
    </r>
  </si>
  <si>
    <r>
      <t xml:space="preserve"> </t>
    </r>
    <r>
      <rPr>
        <sz val="10"/>
        <color theme="1"/>
        <rFont val="Arial"/>
        <family val="2"/>
      </rPr>
      <t>Pattern of many short-lasting jobs</t>
    </r>
  </si>
  <si>
    <r>
      <t xml:space="preserve"> </t>
    </r>
    <r>
      <rPr>
        <sz val="10"/>
        <color theme="1"/>
        <rFont val="Arial"/>
        <family val="2"/>
      </rPr>
      <t>Difficulty with administrative work/planning</t>
    </r>
  </si>
  <si>
    <r>
      <t xml:space="preserve"> </t>
    </r>
    <r>
      <rPr>
        <sz val="10"/>
        <color theme="1"/>
        <rFont val="Arial"/>
        <family val="2"/>
      </rPr>
      <t>Not achieving promotions</t>
    </r>
  </si>
  <si>
    <r>
      <t xml:space="preserve"> </t>
    </r>
    <r>
      <rPr>
        <sz val="10"/>
        <color theme="1"/>
        <rFont val="Arial"/>
        <family val="2"/>
      </rPr>
      <t>Under-performing at work</t>
    </r>
  </si>
  <si>
    <r>
      <t xml:space="preserve"> </t>
    </r>
    <r>
      <rPr>
        <sz val="10"/>
        <color theme="1"/>
        <rFont val="Arial"/>
        <family val="2"/>
      </rPr>
      <t>Left work following arguments or dismissal</t>
    </r>
  </si>
  <si>
    <r>
      <t xml:space="preserve"> </t>
    </r>
    <r>
      <rPr>
        <sz val="10"/>
        <color theme="1"/>
        <rFont val="Arial"/>
        <family val="2"/>
      </rPr>
      <t>Sickness benefits/disability benefit as a result of symptoms</t>
    </r>
  </si>
  <si>
    <r>
      <t xml:space="preserve"> </t>
    </r>
    <r>
      <rPr>
        <sz val="10"/>
        <color theme="1"/>
        <rFont val="Arial"/>
        <family val="2"/>
      </rPr>
      <t>Tire quickly of relationships</t>
    </r>
  </si>
  <si>
    <r>
      <t xml:space="preserve"> </t>
    </r>
    <r>
      <rPr>
        <sz val="10"/>
        <color theme="1"/>
        <rFont val="Arial"/>
        <family val="2"/>
      </rPr>
      <t>Unequal partner relationship owing to symptoms</t>
    </r>
  </si>
  <si>
    <r>
      <t xml:space="preserve"> </t>
    </r>
    <r>
      <rPr>
        <sz val="10"/>
        <color theme="1"/>
        <rFont val="Arial"/>
        <family val="2"/>
      </rPr>
      <t>Relationship problems, lots of arguments, lack of intimacy</t>
    </r>
  </si>
  <si>
    <r>
      <t xml:space="preserve"> </t>
    </r>
    <r>
      <rPr>
        <sz val="10"/>
        <color theme="1"/>
        <rFont val="Arial"/>
        <family val="2"/>
      </rPr>
      <t>Divorced owing to symptoms</t>
    </r>
  </si>
  <si>
    <r>
      <t xml:space="preserve"> </t>
    </r>
    <r>
      <rPr>
        <sz val="10"/>
        <color theme="1"/>
        <rFont val="Arial"/>
        <family val="2"/>
      </rPr>
      <t>Problems with sexuality as a result of symptoms</t>
    </r>
  </si>
  <si>
    <r>
      <t xml:space="preserve"> </t>
    </r>
    <r>
      <rPr>
        <sz val="10"/>
        <color theme="1"/>
        <rFont val="Arial"/>
        <family val="2"/>
      </rPr>
      <t>Problems with upbringing as a result of symptoms</t>
    </r>
  </si>
  <si>
    <r>
      <t xml:space="preserve"> </t>
    </r>
    <r>
      <rPr>
        <sz val="10"/>
        <color theme="1"/>
        <rFont val="Arial"/>
        <family val="2"/>
      </rPr>
      <t>Difficulty with housekeeping and/or administration</t>
    </r>
  </si>
  <si>
    <r>
      <t xml:space="preserve"> </t>
    </r>
    <r>
      <rPr>
        <sz val="10"/>
        <color theme="1"/>
        <rFont val="Arial"/>
        <family val="2"/>
      </rPr>
      <t>Financial problems or gambling</t>
    </r>
  </si>
  <si>
    <r>
      <t xml:space="preserve"> </t>
    </r>
    <r>
      <rPr>
        <sz val="10"/>
        <color theme="1"/>
        <rFont val="Arial"/>
        <family val="2"/>
      </rPr>
      <t>Tire quickly of social contacts</t>
    </r>
  </si>
  <si>
    <r>
      <t xml:space="preserve"> </t>
    </r>
    <r>
      <rPr>
        <sz val="10"/>
        <color theme="1"/>
        <rFont val="Arial"/>
        <family val="2"/>
      </rPr>
      <t>Difficulty initiating social contacts</t>
    </r>
  </si>
  <si>
    <r>
      <t xml:space="preserve"> </t>
    </r>
    <r>
      <rPr>
        <sz val="10"/>
        <color theme="1"/>
        <rFont val="Arial"/>
        <family val="2"/>
      </rPr>
      <t>Not being attentive (i.e. forget to send a card/empathising/phoning, etc)</t>
    </r>
  </si>
  <si>
    <r>
      <t xml:space="preserve"> </t>
    </r>
    <r>
      <rPr>
        <sz val="10"/>
        <color theme="1"/>
        <rFont val="Arial"/>
        <family val="2"/>
      </rPr>
      <t>Having to play lots of sports in order to relax</t>
    </r>
  </si>
  <si>
    <r>
      <t xml:space="preserve"> </t>
    </r>
    <r>
      <rPr>
        <sz val="10"/>
        <color theme="1"/>
        <rFont val="Arial"/>
        <family val="2"/>
      </rPr>
      <t>Unable to finish a book or watch a film all the way through</t>
    </r>
  </si>
  <si>
    <r>
      <t xml:space="preserve"> </t>
    </r>
    <r>
      <rPr>
        <sz val="10"/>
        <color theme="1"/>
        <rFont val="Arial"/>
        <family val="2"/>
      </rPr>
      <t>Being continually busy and therefore becoming overtired</t>
    </r>
  </si>
  <si>
    <r>
      <t xml:space="preserve"> </t>
    </r>
    <r>
      <rPr>
        <sz val="10"/>
        <color theme="1"/>
        <rFont val="Arial"/>
        <family val="2"/>
      </rPr>
      <t>Tire quickly of hobbies</t>
    </r>
  </si>
  <si>
    <r>
      <t xml:space="preserve"> </t>
    </r>
    <r>
      <rPr>
        <sz val="10"/>
        <color theme="1"/>
        <rFont val="Arial"/>
        <family val="2"/>
      </rPr>
      <t>Accidents/loss of driving licence as a result of reckless driving behaviour</t>
    </r>
  </si>
  <si>
    <r>
      <t xml:space="preserve"> </t>
    </r>
    <r>
      <rPr>
        <sz val="10"/>
        <color theme="1"/>
        <rFont val="Arial"/>
        <family val="2"/>
      </rPr>
      <t>Sensation seeking and/or taking too many risks</t>
    </r>
  </si>
  <si>
    <r>
      <t xml:space="preserve"> </t>
    </r>
    <r>
      <rPr>
        <sz val="10"/>
        <color theme="1"/>
        <rFont val="Arial"/>
        <family val="2"/>
      </rPr>
      <t>Contact with the police/the courts</t>
    </r>
  </si>
  <si>
    <r>
      <t xml:space="preserve"> </t>
    </r>
    <r>
      <rPr>
        <sz val="10"/>
        <color theme="1"/>
        <rFont val="Arial"/>
        <family val="2"/>
      </rPr>
      <t>Binge eating</t>
    </r>
  </si>
  <si>
    <r>
      <t xml:space="preserve"> </t>
    </r>
    <r>
      <rPr>
        <sz val="10"/>
        <color theme="1"/>
        <rFont val="Arial"/>
        <family val="2"/>
      </rPr>
      <t>Careless mistakes in schoolwork</t>
    </r>
  </si>
  <si>
    <r>
      <t xml:space="preserve"> </t>
    </r>
    <r>
      <rPr>
        <sz val="10"/>
        <color theme="1"/>
        <rFont val="Arial"/>
        <family val="2"/>
      </rPr>
      <t>Mistakes made by not reading questions properly</t>
    </r>
  </si>
  <si>
    <r>
      <t xml:space="preserve"> </t>
    </r>
    <r>
      <rPr>
        <sz val="10"/>
        <color theme="1"/>
        <rFont val="Arial"/>
        <family val="2"/>
      </rPr>
      <t>Leaves questions unanswered by not reading them properly</t>
    </r>
  </si>
  <si>
    <r>
      <t xml:space="preserve"> </t>
    </r>
    <r>
      <rPr>
        <sz val="10"/>
        <color theme="1"/>
        <rFont val="Arial"/>
        <family val="2"/>
      </rPr>
      <t>Leaves the reverse side of a test unanswered</t>
    </r>
  </si>
  <si>
    <r>
      <t xml:space="preserve"> </t>
    </r>
    <r>
      <rPr>
        <sz val="10"/>
        <color theme="1"/>
        <rFont val="Arial"/>
        <family val="2"/>
      </rPr>
      <t>Not checking the answers in homework</t>
    </r>
  </si>
  <si>
    <r>
      <t xml:space="preserve"> </t>
    </r>
    <r>
      <rPr>
        <sz val="10"/>
        <color theme="1"/>
        <rFont val="Arial"/>
        <family val="2"/>
      </rPr>
      <t>Too much time needed to complete detailed tasks</t>
    </r>
  </si>
  <si>
    <r>
      <t xml:space="preserve"> </t>
    </r>
    <r>
      <rPr>
        <sz val="10"/>
        <color theme="1"/>
        <rFont val="Arial"/>
        <family val="2"/>
      </rPr>
      <t>Difficulty keeping attention on play</t>
    </r>
  </si>
  <si>
    <r>
      <t xml:space="preserve"> </t>
    </r>
    <r>
      <rPr>
        <sz val="10"/>
        <color theme="1"/>
        <rFont val="Arial"/>
        <family val="2"/>
      </rPr>
      <t>Easily distracted</t>
    </r>
  </si>
  <si>
    <r>
      <t xml:space="preserve"> </t>
    </r>
    <r>
      <rPr>
        <sz val="10"/>
        <color theme="1"/>
        <rFont val="Arial"/>
        <family val="2"/>
      </rPr>
      <t>Difficulty concentrating</t>
    </r>
  </si>
  <si>
    <r>
      <t xml:space="preserve"> </t>
    </r>
    <r>
      <rPr>
        <sz val="10"/>
        <color theme="1"/>
        <rFont val="Arial"/>
        <family val="2"/>
      </rPr>
      <t>Needing structure to avoid becoming distracted</t>
    </r>
  </si>
  <si>
    <r>
      <t xml:space="preserve"> </t>
    </r>
    <r>
      <rPr>
        <sz val="10"/>
        <color theme="1"/>
        <rFont val="Arial"/>
        <family val="2"/>
      </rPr>
      <t>Quickly becoming bored of activities</t>
    </r>
  </si>
  <si>
    <r>
      <t xml:space="preserve"> </t>
    </r>
    <r>
      <rPr>
        <sz val="10"/>
        <color theme="1"/>
        <rFont val="Arial"/>
        <family val="2"/>
      </rPr>
      <t>Not knowing what parents/teachers have said</t>
    </r>
  </si>
  <si>
    <r>
      <t xml:space="preserve"> </t>
    </r>
    <r>
      <rPr>
        <sz val="10"/>
        <color theme="1"/>
        <rFont val="Arial"/>
        <family val="2"/>
      </rPr>
      <t>Dreamy or preoccupied</t>
    </r>
  </si>
  <si>
    <r>
      <t xml:space="preserve"> </t>
    </r>
    <r>
      <rPr>
        <sz val="10"/>
        <color theme="1"/>
        <rFont val="Arial"/>
        <family val="2"/>
      </rPr>
      <t>Often having to be addressed again</t>
    </r>
  </si>
  <si>
    <r>
      <t xml:space="preserve"> </t>
    </r>
    <r>
      <rPr>
        <sz val="10"/>
        <color theme="1"/>
        <rFont val="Arial"/>
        <family val="2"/>
      </rPr>
      <t xml:space="preserve">Questions having to be repeated </t>
    </r>
  </si>
  <si>
    <r>
      <t xml:space="preserve"> </t>
    </r>
    <r>
      <rPr>
        <sz val="10"/>
        <color theme="1"/>
        <rFont val="Arial"/>
        <family val="2"/>
      </rPr>
      <t>Difficulty following instructions</t>
    </r>
  </si>
  <si>
    <r>
      <t xml:space="preserve"> </t>
    </r>
    <r>
      <rPr>
        <sz val="10"/>
        <color theme="1"/>
        <rFont val="Arial"/>
        <family val="2"/>
      </rPr>
      <t>Difficulty with instructions involving more than one step</t>
    </r>
  </si>
  <si>
    <r>
      <t xml:space="preserve"> </t>
    </r>
    <r>
      <rPr>
        <sz val="10"/>
        <color theme="1"/>
        <rFont val="Arial"/>
        <family val="2"/>
      </rPr>
      <t>Starts tasks but quickly loses focus and is easily sidetracked</t>
    </r>
  </si>
  <si>
    <r>
      <t xml:space="preserve"> </t>
    </r>
    <r>
      <rPr>
        <sz val="10"/>
        <color theme="1"/>
        <rFont val="Arial"/>
        <family val="2"/>
      </rPr>
      <t>Not completing things</t>
    </r>
  </si>
  <si>
    <r>
      <t xml:space="preserve"> </t>
    </r>
    <r>
      <rPr>
        <sz val="10"/>
        <color theme="1"/>
        <rFont val="Arial"/>
        <family val="2"/>
      </rPr>
      <t>Not completing homework or handing it in</t>
    </r>
  </si>
  <si>
    <r>
      <t xml:space="preserve"> </t>
    </r>
    <r>
      <rPr>
        <sz val="10"/>
        <color theme="1"/>
        <rFont val="Arial"/>
        <family val="2"/>
      </rPr>
      <t>Needing a lot of structure in order to complete tasks</t>
    </r>
  </si>
  <si>
    <r>
      <t xml:space="preserve"> </t>
    </r>
    <r>
      <rPr>
        <sz val="10"/>
        <color theme="1"/>
        <rFont val="Arial"/>
        <family val="2"/>
      </rPr>
      <t>Avoidance of homework or has an aversion to this</t>
    </r>
  </si>
  <si>
    <r>
      <t xml:space="preserve"> </t>
    </r>
    <r>
      <rPr>
        <sz val="10"/>
        <color theme="1"/>
        <rFont val="Arial"/>
        <family val="2"/>
      </rPr>
      <t>Avoidance of tasks that require a lot of concentration</t>
    </r>
  </si>
  <si>
    <r>
      <t xml:space="preserve"> </t>
    </r>
    <r>
      <rPr>
        <sz val="10"/>
        <color theme="1"/>
        <rFont val="Arial"/>
        <family val="2"/>
      </rPr>
      <t>Aversion to school subjects that require a lot of concentration</t>
    </r>
  </si>
  <si>
    <r>
      <t xml:space="preserve"> Spends</t>
    </r>
    <r>
      <rPr>
        <sz val="10"/>
        <color theme="1"/>
        <rFont val="Arial"/>
        <family val="2"/>
      </rPr>
      <t xml:space="preserve"> a lot of time searching for things</t>
    </r>
  </si>
  <si>
    <r>
      <t xml:space="preserve"> </t>
    </r>
    <r>
      <rPr>
        <sz val="10"/>
        <color theme="1"/>
        <rFont val="Arial"/>
        <family val="2"/>
      </rPr>
      <t>Gets in a panic if other people move things around</t>
    </r>
  </si>
  <si>
    <r>
      <t xml:space="preserve"> </t>
    </r>
    <r>
      <rPr>
        <sz val="10"/>
        <color theme="1"/>
        <rFont val="Arial"/>
        <family val="2"/>
      </rPr>
      <t>Comments from parents and/or teacher about things being lost</t>
    </r>
  </si>
  <si>
    <r>
      <t xml:space="preserve"> </t>
    </r>
    <r>
      <rPr>
        <sz val="10"/>
        <color theme="1"/>
        <rFont val="Arial"/>
        <family val="2"/>
      </rPr>
      <t>Easily distracted by noises or events</t>
    </r>
  </si>
  <si>
    <r>
      <t xml:space="preserve"> </t>
    </r>
    <r>
      <rPr>
        <sz val="10"/>
        <color theme="1"/>
        <rFont val="Arial"/>
        <family val="2"/>
      </rPr>
      <t>Forgets appointments or instructions</t>
    </r>
  </si>
  <si>
    <r>
      <t xml:space="preserve"> </t>
    </r>
    <r>
      <rPr>
        <sz val="10"/>
        <color theme="1"/>
        <rFont val="Arial"/>
        <family val="2"/>
      </rPr>
      <t>Forgets to do chores or run errands</t>
    </r>
  </si>
  <si>
    <r>
      <t xml:space="preserve"> </t>
    </r>
    <r>
      <rPr>
        <sz val="10"/>
        <color theme="1"/>
        <rFont val="Arial"/>
        <family val="2"/>
      </rPr>
      <t>Has to be frequently reminded of things</t>
    </r>
  </si>
  <si>
    <r>
      <t xml:space="preserve"> </t>
    </r>
    <r>
      <rPr>
        <sz val="10"/>
        <color theme="1"/>
        <rFont val="Arial"/>
        <family val="2"/>
      </rPr>
      <t>Half-way through a task, forgetting what has to be done</t>
    </r>
  </si>
  <si>
    <r>
      <t xml:space="preserve"> </t>
    </r>
    <r>
      <rPr>
        <sz val="10"/>
        <color theme="1"/>
        <rFont val="Arial"/>
        <family val="2"/>
      </rPr>
      <t>Forgets to take things to school</t>
    </r>
  </si>
  <si>
    <r>
      <t xml:space="preserve"> </t>
    </r>
    <r>
      <rPr>
        <sz val="10"/>
        <color theme="1"/>
        <rFont val="Arial"/>
        <family val="2"/>
      </rPr>
      <t>Leaving things behind at school or at friends’ houses</t>
    </r>
  </si>
  <si>
    <r>
      <t xml:space="preserve"> </t>
    </r>
    <r>
      <rPr>
        <sz val="10"/>
        <color theme="1"/>
        <rFont val="Arial"/>
        <family val="2"/>
      </rPr>
      <t>Parents often said “sit still” or similar</t>
    </r>
  </si>
  <si>
    <r>
      <t xml:space="preserve"> </t>
    </r>
    <r>
      <rPr>
        <sz val="10"/>
        <color theme="1"/>
        <rFont val="Arial"/>
        <family val="2"/>
      </rPr>
      <t>Fidgets with the legs</t>
    </r>
  </si>
  <si>
    <r>
      <t xml:space="preserve"> </t>
    </r>
    <r>
      <rPr>
        <sz val="10"/>
        <color theme="1"/>
        <rFont val="Arial"/>
        <family val="2"/>
      </rPr>
      <t>Tapping with a pen or playing with something</t>
    </r>
  </si>
  <si>
    <r>
      <t xml:space="preserve"> </t>
    </r>
    <r>
      <rPr>
        <sz val="10"/>
        <color theme="1"/>
        <rFont val="Arial"/>
        <family val="2"/>
      </rPr>
      <t>Fiddling with hair or biting nails</t>
    </r>
  </si>
  <si>
    <r>
      <t xml:space="preserve"> </t>
    </r>
    <r>
      <rPr>
        <sz val="10"/>
        <color theme="1"/>
        <rFont val="Arial"/>
        <family val="2"/>
      </rPr>
      <t xml:space="preserve">Unable to remain seated in a chair in a relaxed manner </t>
    </r>
  </si>
  <si>
    <r>
      <t xml:space="preserve"> </t>
    </r>
    <r>
      <rPr>
        <sz val="10"/>
        <color theme="1"/>
        <rFont val="Arial"/>
        <family val="2"/>
      </rPr>
      <t xml:space="preserve">Often stands up while eating or leaves his/her place in the classroom </t>
    </r>
  </si>
  <si>
    <r>
      <t xml:space="preserve"> </t>
    </r>
    <r>
      <rPr>
        <sz val="10"/>
        <color theme="1"/>
        <rFont val="Arial"/>
        <family val="2"/>
      </rPr>
      <t>Finds it very difficult to stay seated at school or during meals</t>
    </r>
  </si>
  <si>
    <r>
      <t xml:space="preserve"> </t>
    </r>
    <r>
      <rPr>
        <sz val="10"/>
        <color theme="1"/>
        <rFont val="Arial"/>
        <family val="2"/>
      </rPr>
      <t>Being told to remain seated</t>
    </r>
  </si>
  <si>
    <r>
      <t xml:space="preserve"> </t>
    </r>
    <r>
      <rPr>
        <sz val="10"/>
        <color theme="1"/>
        <rFont val="Arial"/>
        <family val="2"/>
      </rPr>
      <t>Always running around where it is inappropriate</t>
    </r>
  </si>
  <si>
    <r>
      <t xml:space="preserve"> </t>
    </r>
    <r>
      <rPr>
        <sz val="10"/>
        <color theme="1"/>
        <rFont val="Arial"/>
        <family val="2"/>
      </rPr>
      <t>Climbing on furniture, or jumping on the sofa</t>
    </r>
  </si>
  <si>
    <r>
      <t xml:space="preserve"> </t>
    </r>
    <r>
      <rPr>
        <sz val="10"/>
        <color theme="1"/>
        <rFont val="Arial"/>
        <family val="2"/>
      </rPr>
      <t>Climbing in trees</t>
    </r>
  </si>
  <si>
    <r>
      <t xml:space="preserve"> </t>
    </r>
    <r>
      <rPr>
        <sz val="10"/>
        <color theme="1"/>
        <rFont val="Arial"/>
        <family val="2"/>
      </rPr>
      <t>Feeling restless inside</t>
    </r>
  </si>
  <si>
    <r>
      <t xml:space="preserve"> </t>
    </r>
    <r>
      <rPr>
        <sz val="10"/>
        <color theme="1"/>
        <rFont val="Arial"/>
        <family val="2"/>
      </rPr>
      <t xml:space="preserve">Becoming quickly too cocky in public </t>
    </r>
  </si>
  <si>
    <r>
      <t xml:space="preserve"> </t>
    </r>
    <r>
      <rPr>
        <sz val="10"/>
        <color theme="1"/>
        <rFont val="Arial"/>
        <family val="2"/>
      </rPr>
      <t>Others find you restless or difficult to keep up with</t>
    </r>
  </si>
  <si>
    <r>
      <t xml:space="preserve"> </t>
    </r>
    <r>
      <rPr>
        <sz val="10"/>
        <color theme="1"/>
        <rFont val="Arial"/>
        <family val="2"/>
      </rPr>
      <t>Excessively active at school and at home</t>
    </r>
  </si>
  <si>
    <r>
      <t xml:space="preserve"> </t>
    </r>
    <r>
      <rPr>
        <sz val="10"/>
        <color theme="1"/>
        <rFont val="Arial"/>
        <family val="2"/>
      </rPr>
      <t>Has lots of energy</t>
    </r>
  </si>
  <si>
    <r>
      <t xml:space="preserve"> </t>
    </r>
    <r>
      <rPr>
        <sz val="10"/>
        <color theme="1"/>
        <rFont val="Arial"/>
        <family val="2"/>
      </rPr>
      <t>Known as a chatterbox</t>
    </r>
  </si>
  <si>
    <r>
      <t xml:space="preserve"> </t>
    </r>
    <r>
      <rPr>
        <sz val="10"/>
        <color theme="1"/>
        <rFont val="Arial"/>
        <family val="2"/>
      </rPr>
      <t>Teachers and parents often ask you to be quiet</t>
    </r>
  </si>
  <si>
    <r>
      <t xml:space="preserve"> </t>
    </r>
    <r>
      <rPr>
        <sz val="10"/>
        <color theme="1"/>
        <rFont val="Arial"/>
        <family val="2"/>
      </rPr>
      <t>Comments in school reports about talking too much</t>
    </r>
  </si>
  <si>
    <r>
      <t xml:space="preserve"> </t>
    </r>
    <r>
      <rPr>
        <sz val="10"/>
        <color theme="1"/>
        <rFont val="Arial"/>
        <family val="2"/>
      </rPr>
      <t>Being punished for talking too much</t>
    </r>
  </si>
  <si>
    <r>
      <t xml:space="preserve"> </t>
    </r>
    <r>
      <rPr>
        <sz val="10"/>
        <color theme="1"/>
        <rFont val="Arial"/>
        <family val="2"/>
      </rPr>
      <t xml:space="preserve">Keeping others from doing schoolwork by talking too much </t>
    </r>
  </si>
  <si>
    <r>
      <t xml:space="preserve"> </t>
    </r>
    <r>
      <rPr>
        <sz val="10"/>
        <color theme="1"/>
        <rFont val="Arial"/>
        <family val="2"/>
      </rPr>
      <t>Not giving others room during a conversation</t>
    </r>
  </si>
  <si>
    <r>
      <t xml:space="preserve"> </t>
    </r>
    <r>
      <rPr>
        <sz val="10"/>
        <color theme="1"/>
        <rFont val="Arial"/>
        <family val="2"/>
      </rPr>
      <t>Being a blabbermouth, saying things without thinking first</t>
    </r>
  </si>
  <si>
    <r>
      <t xml:space="preserve"> </t>
    </r>
    <r>
      <rPr>
        <sz val="10"/>
        <color theme="1"/>
        <rFont val="Arial"/>
        <family val="2"/>
      </rPr>
      <t>Wants to be the first to answer questions at school</t>
    </r>
  </si>
  <si>
    <r>
      <t xml:space="preserve"> </t>
    </r>
    <r>
      <rPr>
        <sz val="10"/>
        <color theme="1"/>
        <rFont val="Arial"/>
        <family val="2"/>
      </rPr>
      <t>Blurts out an answer even if it is wrong</t>
    </r>
  </si>
  <si>
    <r>
      <t xml:space="preserve"> </t>
    </r>
    <r>
      <rPr>
        <sz val="10"/>
        <color theme="1"/>
        <rFont val="Arial"/>
        <family val="2"/>
      </rPr>
      <t>Interrupts others before sentences are finished</t>
    </r>
  </si>
  <si>
    <r>
      <t xml:space="preserve"> </t>
    </r>
    <r>
      <rPr>
        <sz val="10"/>
        <color theme="1"/>
        <rFont val="Arial"/>
        <family val="2"/>
      </rPr>
      <t>Difficultly waiting turn in group activities</t>
    </r>
  </si>
  <si>
    <r>
      <t xml:space="preserve"> </t>
    </r>
    <r>
      <rPr>
        <sz val="10"/>
        <color theme="1"/>
        <rFont val="Arial"/>
        <family val="2"/>
      </rPr>
      <t>Difficultly waiting turn in the classroom</t>
    </r>
  </si>
  <si>
    <r>
      <t xml:space="preserve"> </t>
    </r>
    <r>
      <rPr>
        <sz val="10"/>
        <color theme="1"/>
        <rFont val="Arial"/>
        <family val="2"/>
      </rPr>
      <t>Always being the first to talk or act</t>
    </r>
  </si>
  <si>
    <r>
      <t xml:space="preserve"> </t>
    </r>
    <r>
      <rPr>
        <sz val="10"/>
        <color theme="1"/>
        <rFont val="Arial"/>
        <family val="2"/>
      </rPr>
      <t>Starts using people’s things without asking or permission</t>
    </r>
  </si>
  <si>
    <r>
      <t xml:space="preserve"> </t>
    </r>
    <r>
      <rPr>
        <sz val="10"/>
        <color theme="1"/>
        <rFont val="Arial"/>
        <family val="2"/>
      </rPr>
      <t>Interrupts the conversations of others</t>
    </r>
  </si>
  <si>
    <r>
      <t xml:space="preserve"> </t>
    </r>
    <r>
      <rPr>
        <sz val="10"/>
        <color theme="1"/>
        <rFont val="Arial"/>
        <family val="2"/>
      </rPr>
      <t>Reacts to everything</t>
    </r>
  </si>
  <si>
    <r>
      <rPr>
        <b/>
        <i/>
        <sz val="10"/>
        <color theme="1"/>
        <rFont val="Arial"/>
        <family val="2"/>
      </rPr>
      <t>p</t>
    </r>
    <r>
      <rPr>
        <b/>
        <sz val="10"/>
        <color theme="1"/>
        <rFont val="Arial"/>
        <family val="2"/>
      </rPr>
      <t>-value (chi-square)</t>
    </r>
  </si>
  <si>
    <t>OR</t>
  </si>
  <si>
    <t>SE ln(OR)</t>
  </si>
  <si>
    <t>Upper Bound OR</t>
  </si>
  <si>
    <t>Lower Bound OR</t>
  </si>
  <si>
    <t>DIVA_C_1v11 Beperkt disfunctioneren door compensatie externe structuur</t>
  </si>
  <si>
    <t>Symptom</t>
  </si>
  <si>
    <t xml:space="preserve">Fails to pay close attention to details/makes careless mistakes </t>
  </si>
  <si>
    <t>Has difficulty sustaining attention</t>
  </si>
  <si>
    <t>Does not seem to listen when spoken to directly</t>
  </si>
  <si>
    <t>Does not follow through on instructions, fails to finish chores/duties </t>
  </si>
  <si>
    <t>Has difficulty organising tasks and activities</t>
  </si>
  <si>
    <t>Avoids, dislikes, or is reluctant to engage in tasks that require sustained mental effort </t>
  </si>
  <si>
    <t>Loses things necessary for tasks or activities</t>
  </si>
  <si>
    <t>Is easily distracted by extraneous stimuli</t>
  </si>
  <si>
    <t>Is forgetful in daily activities</t>
  </si>
  <si>
    <t>Fidgets with hands or feet or squirms in seat</t>
  </si>
  <si>
    <t>Leaves seat in classroom/in other situations in which remaining seated is expected</t>
  </si>
  <si>
    <t>Feels restless</t>
  </si>
  <si>
    <t>Has difficulty engaging in leisure activities quietly</t>
  </si>
  <si>
    <t>Is often on the go or often acts as if ‘driven by a motor’</t>
  </si>
  <si>
    <t>Talks excessively</t>
  </si>
  <si>
    <t>Blurts out answers before questions have been completed</t>
  </si>
  <si>
    <t>Has difficulty awaiting turn</t>
  </si>
  <si>
    <t>Interrupts or intrudes on others</t>
  </si>
  <si>
    <t>Work/education</t>
  </si>
  <si>
    <t>Relationship/family</t>
  </si>
  <si>
    <t>Social contacts</t>
  </si>
  <si>
    <t>Free time/hobby</t>
  </si>
  <si>
    <t>Self-confidence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</si>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</sst>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00_ ;_ * \-#,##0.000_ ;_ * &quot;-&quot;???_ ;_ @_ "/>
    <numFmt numFmtId="165" formatCode="_ * #,##0.000000_ ;_ * \-#,##0.000000_ ;_ * &quot;-&quot;???_ ;_ @_ "/>
    <numFmt numFmtId="166" formatCode="_ * #,##0.0000_ ;_ * \-#,##0.0000_ ;_ * &quot;-&quot;???_ ;_ @_ "/>
  </numFmts>
  <fonts count="6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0" borderId="0" xfId="0" applyNumberFormat="1" applyFont="1"/>
    <xf numFmtId="0" fontId="0" fillId="0" borderId="0" xfId="0" applyNumberFormat="1" applyAlignment="1">
      <alignment wrapText="1"/>
    </xf>
    <xf numFmtId="2" fontId="0" fillId="0" borderId="0" xfId="0" applyNumberFormat="1"/>
    <xf numFmtId="0" fontId="0" fillId="0" borderId="0" xfId="0" applyNumberFormat="1" applyFont="1"/>
    <xf numFmtId="0" fontId="0" fillId="0" borderId="0" xfId="0" applyFont="1"/>
    <xf numFmtId="2" fontId="0" fillId="0" borderId="0" xfId="0" applyNumberFormat="1" applyFont="1"/>
    <xf numFmtId="164" fontId="0" fillId="0" borderId="0" xfId="1" applyNumberFormat="1" applyFont="1"/>
    <xf numFmtId="164" fontId="0" fillId="0" borderId="0" xfId="0" applyNumberFormat="1"/>
    <xf numFmtId="0" fontId="0" fillId="0" borderId="2" xfId="0" applyFont="1" applyBorder="1"/>
    <xf numFmtId="0" fontId="0" fillId="0" borderId="3" xfId="0" applyFont="1" applyBorder="1"/>
    <xf numFmtId="0" fontId="0" fillId="0" borderId="1" xfId="0" applyNumberFormat="1" applyFont="1" applyBorder="1"/>
    <xf numFmtId="0" fontId="0" fillId="0" borderId="0" xfId="0" applyFill="1"/>
    <xf numFmtId="2" fontId="0" fillId="0" borderId="0" xfId="0" applyNumberFormat="1" applyFill="1"/>
    <xf numFmtId="0" fontId="1" fillId="0" borderId="0" xfId="0" applyFont="1" applyFill="1"/>
    <xf numFmtId="0" fontId="1" fillId="0" borderId="0" xfId="0" applyNumberFormat="1" applyFont="1" applyFill="1"/>
    <xf numFmtId="0" fontId="0" fillId="0" borderId="0" xfId="0" applyFont="1" applyFill="1"/>
    <xf numFmtId="2" fontId="0" fillId="0" borderId="0" xfId="0" applyNumberFormat="1" applyFont="1" applyFill="1"/>
    <xf numFmtId="0" fontId="0" fillId="0" borderId="0" xfId="0" applyNumberFormat="1" applyFont="1" applyFill="1"/>
    <xf numFmtId="165" fontId="0" fillId="0" borderId="0" xfId="1" applyNumberFormat="1" applyFont="1" applyFill="1"/>
    <xf numFmtId="0" fontId="0" fillId="0" borderId="0" xfId="0" applyNumberFormat="1" applyBorder="1"/>
    <xf numFmtId="0" fontId="0" fillId="0" borderId="0" xfId="0" applyBorder="1"/>
    <xf numFmtId="2" fontId="1" fillId="0" borderId="0" xfId="0" applyNumberFormat="1" applyFont="1" applyFill="1"/>
    <xf numFmtId="165" fontId="1" fillId="0" borderId="0" xfId="1" applyNumberFormat="1" applyFont="1" applyFill="1"/>
    <xf numFmtId="1" fontId="1" fillId="0" borderId="0" xfId="0" applyNumberFormat="1" applyFont="1" applyFill="1"/>
    <xf numFmtId="1" fontId="0" fillId="0" borderId="0" xfId="0" applyNumberFormat="1"/>
    <xf numFmtId="1" fontId="0" fillId="0" borderId="0" xfId="0" applyNumberFormat="1" applyFont="1"/>
    <xf numFmtId="1" fontId="0" fillId="0" borderId="0" xfId="0" applyNumberFormat="1" applyFont="1" applyFill="1"/>
    <xf numFmtId="0" fontId="0" fillId="0" borderId="0" xfId="0" applyFont="1" applyAlignment="1">
      <alignment vertical="center"/>
    </xf>
    <xf numFmtId="165" fontId="0" fillId="0" borderId="0" xfId="0" applyNumberFormat="1" applyFont="1" applyFill="1"/>
    <xf numFmtId="0" fontId="0" fillId="0" borderId="0" xfId="0" applyNumberFormat="1" applyFont="1" applyFill="1" applyAlignment="1">
      <alignment wrapText="1"/>
    </xf>
    <xf numFmtId="166" fontId="0" fillId="0" borderId="0" xfId="1" applyNumberFormat="1" applyFont="1"/>
    <xf numFmtId="0" fontId="5" fillId="0" borderId="0" xfId="0" applyFont="1" applyAlignment="1">
      <alignment vertical="center"/>
    </xf>
    <xf numFmtId="0" fontId="1" fillId="0" borderId="0" xfId="1" applyNumberFormat="1" applyFont="1" applyFill="1"/>
    <xf numFmtId="0" fontId="5" fillId="0" borderId="0" xfId="0" applyNumberFormat="1" applyFont="1" applyAlignment="1">
      <alignment vertical="center"/>
    </xf>
  </cellXfs>
  <cellStyles count="2">
    <cellStyle name="Komma" xfId="1" builtinId="3"/>
    <cellStyle name="Standaard" xfId="0" builtinId="0"/>
  </cellStyles>
  <dxfs count="11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7ABE-E9F4-4763-9018-2D2F63926D71}">
  <dimension ref="A1:L19"/>
  <sheetViews>
    <sheetView tabSelected="1" workbookViewId="0">
      <selection activeCell="A27" sqref="A27"/>
    </sheetView>
  </sheetViews>
  <sheetFormatPr defaultRowHeight="12.75"/>
  <cols>
    <col min="1" max="1" width="74" bestFit="1" customWidth="1"/>
    <col min="2" max="2" width="15.140625" bestFit="1" customWidth="1"/>
    <col min="3" max="3" width="18.42578125" bestFit="1" customWidth="1"/>
    <col min="4" max="4" width="12.42578125" bestFit="1" customWidth="1"/>
    <col min="5" max="5" width="15.7109375" bestFit="1" customWidth="1"/>
    <col min="6" max="6" width="20.28515625" bestFit="1" customWidth="1"/>
    <col min="7" max="8" width="12.42578125" bestFit="1" customWidth="1"/>
    <col min="9" max="10" width="12" bestFit="1" customWidth="1"/>
    <col min="11" max="11" width="16.5703125" bestFit="1" customWidth="1"/>
    <col min="12" max="12" width="16.28515625" bestFit="1" customWidth="1"/>
  </cols>
  <sheetData>
    <row r="1" spans="1:12">
      <c r="A1" s="2" t="s">
        <v>625</v>
      </c>
      <c r="B1" s="16" t="s">
        <v>321</v>
      </c>
      <c r="C1" s="16" t="s">
        <v>322</v>
      </c>
      <c r="D1" s="24" t="s">
        <v>323</v>
      </c>
      <c r="E1" s="24" t="s">
        <v>324</v>
      </c>
      <c r="F1" s="25" t="s">
        <v>619</v>
      </c>
      <c r="G1" s="16" t="s">
        <v>319</v>
      </c>
      <c r="H1" s="16" t="s">
        <v>320</v>
      </c>
      <c r="I1" s="2" t="s">
        <v>620</v>
      </c>
      <c r="J1" s="2" t="s">
        <v>621</v>
      </c>
      <c r="K1" s="2" t="s">
        <v>623</v>
      </c>
      <c r="L1" s="2" t="s">
        <v>622</v>
      </c>
    </row>
    <row r="2" spans="1:12">
      <c r="A2" t="s">
        <v>626</v>
      </c>
      <c r="B2">
        <v>715</v>
      </c>
      <c r="C2">
        <v>1107</v>
      </c>
      <c r="D2">
        <v>81.157775255391599</v>
      </c>
      <c r="E2">
        <v>80.450581395348806</v>
      </c>
      <c r="F2">
        <v>0.71823728672105902</v>
      </c>
      <c r="G2">
        <v>0.13018791019954001</v>
      </c>
      <c r="H2">
        <v>7.5948560758173104E-3</v>
      </c>
      <c r="I2">
        <f xml:space="preserve"> (B2 / (881 - B2)) / (C2 / (1376 - C2))</f>
        <v>1.0466527356036615</v>
      </c>
      <c r="J2">
        <f>SQRT(1/B2 + 1/(881 - B2) + 1/C2+ 1/(1376 - C2))</f>
        <v>0.10974293722085114</v>
      </c>
      <c r="K2">
        <f xml:space="preserve"> EXP(LN(I2) - 1.96 * J2)</f>
        <v>0.84408763594188052</v>
      </c>
      <c r="L2" s="34">
        <f xml:space="preserve"> EXP(LN(I2) + 1.96 * J2)</f>
        <v>1.2978296355735948</v>
      </c>
    </row>
    <row r="3" spans="1:12">
      <c r="A3" t="s">
        <v>627</v>
      </c>
      <c r="B3">
        <v>858</v>
      </c>
      <c r="C3">
        <v>1340</v>
      </c>
      <c r="D3">
        <v>97.389330306469901</v>
      </c>
      <c r="E3">
        <v>97.383720930232599</v>
      </c>
      <c r="F3">
        <v>0.99999999999997602</v>
      </c>
      <c r="G3">
        <v>9.0106510453918303E-28</v>
      </c>
      <c r="H3">
        <v>6.3184755026711003E-16</v>
      </c>
      <c r="I3">
        <f t="shared" ref="I3:I19" si="0" xml:space="preserve"> (B3 / (881 - B3)) / (C3 / (1376 - C3))</f>
        <v>1.0022063595068138</v>
      </c>
      <c r="J3">
        <f t="shared" ref="J3:J19" si="1">SQRT(1/B3 + 1/(881 - B3) + 1/C3+ 1/(1376 - C3))</f>
        <v>0.27049548696708525</v>
      </c>
      <c r="K3">
        <f t="shared" ref="K3:K19" si="2" xml:space="preserve"> EXP(LN(I3) - 1.96 * J3)</f>
        <v>0.58980268785179091</v>
      </c>
      <c r="L3" s="34">
        <f t="shared" ref="L3:L19" si="3" xml:space="preserve"> EXP(LN(I3) + 1.96 * J3)</f>
        <v>1.7029722104086054</v>
      </c>
    </row>
    <row r="4" spans="1:12">
      <c r="A4" t="s">
        <v>628</v>
      </c>
      <c r="B4">
        <v>706</v>
      </c>
      <c r="C4">
        <v>1135</v>
      </c>
      <c r="D4">
        <v>80.136208853575496</v>
      </c>
      <c r="E4">
        <v>82.485465116279101</v>
      </c>
      <c r="F4">
        <v>0.17748827070071699</v>
      </c>
      <c r="G4">
        <v>1.81853070360618</v>
      </c>
      <c r="H4">
        <v>2.83853686842656E-2</v>
      </c>
      <c r="I4">
        <f t="shared" si="0"/>
        <v>0.85661925739458789</v>
      </c>
      <c r="J4">
        <f t="shared" si="1"/>
        <v>0.1102776095645441</v>
      </c>
      <c r="K4">
        <f t="shared" si="2"/>
        <v>0.69010891390947326</v>
      </c>
      <c r="L4" s="34">
        <f t="shared" si="3"/>
        <v>1.0633054252006267</v>
      </c>
    </row>
    <row r="5" spans="1:12">
      <c r="A5" t="s">
        <v>629</v>
      </c>
      <c r="B5">
        <v>778</v>
      </c>
      <c r="C5">
        <v>1275</v>
      </c>
      <c r="D5">
        <v>88.308740068104399</v>
      </c>
      <c r="E5">
        <v>92.659883720930196</v>
      </c>
      <c r="F5">
        <v>5.78216299810119E-4</v>
      </c>
      <c r="G5">
        <v>11.8448307670277</v>
      </c>
      <c r="H5">
        <v>7.2443370904793497E-2</v>
      </c>
      <c r="I5">
        <f t="shared" si="0"/>
        <v>0.59834761088901578</v>
      </c>
      <c r="J5">
        <f t="shared" si="1"/>
        <v>0.1472392228052008</v>
      </c>
      <c r="K5">
        <f t="shared" si="2"/>
        <v>0.44835395450182097</v>
      </c>
      <c r="L5" s="34">
        <f t="shared" si="3"/>
        <v>0.79852058816878113</v>
      </c>
    </row>
    <row r="6" spans="1:12">
      <c r="A6" t="s">
        <v>630</v>
      </c>
      <c r="B6">
        <v>752</v>
      </c>
      <c r="C6">
        <v>1238</v>
      </c>
      <c r="D6">
        <v>85.357548240635595</v>
      </c>
      <c r="E6">
        <v>89.970930232558104</v>
      </c>
      <c r="F6">
        <v>1.1796782532143401E-3</v>
      </c>
      <c r="G6">
        <v>10.5219048381542</v>
      </c>
      <c r="H6">
        <v>6.8278096533030103E-2</v>
      </c>
      <c r="I6">
        <f t="shared" si="0"/>
        <v>0.64981027163091254</v>
      </c>
      <c r="J6">
        <f t="shared" si="1"/>
        <v>0.1309039971612109</v>
      </c>
      <c r="K6">
        <f t="shared" si="2"/>
        <v>0.5027578265683702</v>
      </c>
      <c r="L6" s="34">
        <f t="shared" si="3"/>
        <v>0.83987432279111018</v>
      </c>
    </row>
    <row r="7" spans="1:12">
      <c r="A7" t="s">
        <v>631</v>
      </c>
      <c r="B7">
        <v>803</v>
      </c>
      <c r="C7">
        <v>1262</v>
      </c>
      <c r="D7">
        <v>91.146424517593601</v>
      </c>
      <c r="E7">
        <v>91.715116279069804</v>
      </c>
      <c r="F7">
        <v>0.69277720379997498</v>
      </c>
      <c r="G7">
        <v>0.15609532094893899</v>
      </c>
      <c r="H7">
        <v>8.3162811460209107E-3</v>
      </c>
      <c r="I7">
        <f t="shared" si="0"/>
        <v>0.92996464708033655</v>
      </c>
      <c r="J7">
        <f t="shared" si="1"/>
        <v>0.15372106454376669</v>
      </c>
      <c r="K7">
        <f t="shared" si="2"/>
        <v>0.68804434102915002</v>
      </c>
      <c r="L7" s="34">
        <f t="shared" si="3"/>
        <v>1.2569455095374658</v>
      </c>
    </row>
    <row r="8" spans="1:12">
      <c r="A8" t="s">
        <v>632</v>
      </c>
      <c r="B8">
        <v>629</v>
      </c>
      <c r="C8">
        <v>1106</v>
      </c>
      <c r="D8">
        <v>71.396140749148699</v>
      </c>
      <c r="E8">
        <v>80.3779069767442</v>
      </c>
      <c r="F8">
        <v>1.0313145353587799E-6</v>
      </c>
      <c r="G8">
        <v>23.868768145195101</v>
      </c>
      <c r="H8">
        <v>0.102836958477416</v>
      </c>
      <c r="I8">
        <f t="shared" si="0"/>
        <v>0.60933867217773185</v>
      </c>
      <c r="J8">
        <f t="shared" si="1"/>
        <v>0.10082629579232685</v>
      </c>
      <c r="K8">
        <f t="shared" si="2"/>
        <v>0.50007329882824147</v>
      </c>
      <c r="L8" s="34">
        <f t="shared" si="3"/>
        <v>0.74247838923079224</v>
      </c>
    </row>
    <row r="9" spans="1:12">
      <c r="A9" t="s">
        <v>633</v>
      </c>
      <c r="B9">
        <v>813</v>
      </c>
      <c r="C9">
        <v>1292</v>
      </c>
      <c r="D9">
        <v>92.281498297389305</v>
      </c>
      <c r="E9">
        <v>93.895348837209298</v>
      </c>
      <c r="F9">
        <v>0.159637262680279</v>
      </c>
      <c r="G9">
        <v>1.9776588194218101</v>
      </c>
      <c r="H9">
        <v>2.9601240105489E-2</v>
      </c>
      <c r="I9">
        <f t="shared" si="0"/>
        <v>0.77731742851939534</v>
      </c>
      <c r="J9">
        <f t="shared" si="1"/>
        <v>0.16915865442204137</v>
      </c>
      <c r="K9">
        <f t="shared" si="2"/>
        <v>0.55796589206827285</v>
      </c>
      <c r="L9" s="34">
        <f t="shared" si="3"/>
        <v>1.0829020075766072</v>
      </c>
    </row>
    <row r="10" spans="1:12">
      <c r="A10" t="s">
        <v>634</v>
      </c>
      <c r="B10">
        <v>681</v>
      </c>
      <c r="C10">
        <v>1120</v>
      </c>
      <c r="D10">
        <v>77.298524404086294</v>
      </c>
      <c r="E10">
        <v>81.395348837209298</v>
      </c>
      <c r="F10">
        <v>2.0836119633558501E-2</v>
      </c>
      <c r="G10">
        <v>5.3404478343826698</v>
      </c>
      <c r="H10">
        <v>4.8643303240046197E-2</v>
      </c>
      <c r="I10">
        <f t="shared" si="0"/>
        <v>0.77828571428571425</v>
      </c>
      <c r="J10">
        <f t="shared" si="1"/>
        <v>0.10614865012830477</v>
      </c>
      <c r="K10">
        <f t="shared" si="2"/>
        <v>0.63209667203026576</v>
      </c>
      <c r="L10" s="34">
        <f t="shared" si="3"/>
        <v>0.95828483183695867</v>
      </c>
    </row>
    <row r="11" spans="1:12">
      <c r="A11" t="s">
        <v>635</v>
      </c>
      <c r="B11">
        <v>720</v>
      </c>
      <c r="C11">
        <v>1106</v>
      </c>
      <c r="D11">
        <v>81.725312145289394</v>
      </c>
      <c r="E11">
        <v>80.3779069767442</v>
      </c>
      <c r="F11">
        <v>0.45955991060810703</v>
      </c>
      <c r="G11">
        <v>0.54696631933182505</v>
      </c>
      <c r="H11">
        <v>1.5567343654268E-2</v>
      </c>
      <c r="I11">
        <f t="shared" si="0"/>
        <v>1.0917300326845101</v>
      </c>
      <c r="J11">
        <f t="shared" si="1"/>
        <v>0.11048951013025367</v>
      </c>
      <c r="K11">
        <f t="shared" si="2"/>
        <v>0.87915345636569953</v>
      </c>
      <c r="L11" s="34">
        <f t="shared" si="3"/>
        <v>1.3557069651894085</v>
      </c>
    </row>
    <row r="12" spans="1:12">
      <c r="A12" t="s">
        <v>636</v>
      </c>
      <c r="B12">
        <v>464</v>
      </c>
      <c r="C12">
        <v>686</v>
      </c>
      <c r="D12">
        <v>52.6674233825199</v>
      </c>
      <c r="E12">
        <v>49.854651162790702</v>
      </c>
      <c r="F12">
        <v>0.207368319046073</v>
      </c>
      <c r="G12">
        <v>1.58970476979937</v>
      </c>
      <c r="H12">
        <v>2.6539483045097199E-2</v>
      </c>
      <c r="I12">
        <f t="shared" si="0"/>
        <v>1.1191979361117519</v>
      </c>
      <c r="J12">
        <f t="shared" si="1"/>
        <v>8.6372769194960924E-2</v>
      </c>
      <c r="K12">
        <f t="shared" si="2"/>
        <v>0.94489796833896778</v>
      </c>
      <c r="L12" s="34">
        <f t="shared" si="3"/>
        <v>1.3256500301283878</v>
      </c>
    </row>
    <row r="13" spans="1:12">
      <c r="A13" t="s">
        <v>637</v>
      </c>
      <c r="B13">
        <v>692</v>
      </c>
      <c r="C13">
        <v>1207</v>
      </c>
      <c r="D13">
        <v>78.5471055618615</v>
      </c>
      <c r="E13">
        <v>87.718023255813904</v>
      </c>
      <c r="F13">
        <v>8.4655127463531796E-9</v>
      </c>
      <c r="G13">
        <v>33.1651292656192</v>
      </c>
      <c r="H13">
        <v>0.121220219937046</v>
      </c>
      <c r="I13">
        <f t="shared" si="0"/>
        <v>0.51265326161763614</v>
      </c>
      <c r="J13">
        <f t="shared" si="1"/>
        <v>0.11611094769129834</v>
      </c>
      <c r="K13">
        <f t="shared" si="2"/>
        <v>0.40830818958601534</v>
      </c>
      <c r="L13" s="34">
        <f t="shared" si="3"/>
        <v>0.64366420598535534</v>
      </c>
    </row>
    <row r="14" spans="1:12">
      <c r="A14" t="s">
        <v>638</v>
      </c>
      <c r="B14">
        <v>356</v>
      </c>
      <c r="C14">
        <v>651</v>
      </c>
      <c r="D14">
        <v>40.408626560726397</v>
      </c>
      <c r="E14">
        <v>47.3110465116279</v>
      </c>
      <c r="F14">
        <v>1.5001098882373499E-3</v>
      </c>
      <c r="G14">
        <v>10.0784805196205</v>
      </c>
      <c r="H14">
        <v>6.6823889587426702E-2</v>
      </c>
      <c r="I14">
        <f t="shared" si="0"/>
        <v>0.75517518835491193</v>
      </c>
      <c r="J14">
        <f t="shared" si="1"/>
        <v>8.7345058955422855E-2</v>
      </c>
      <c r="K14">
        <f t="shared" si="2"/>
        <v>0.63635300224145186</v>
      </c>
      <c r="L14" s="34">
        <f t="shared" si="3"/>
        <v>0.89618429252022513</v>
      </c>
    </row>
    <row r="15" spans="1:12">
      <c r="A15" t="s">
        <v>639</v>
      </c>
      <c r="B15">
        <v>562</v>
      </c>
      <c r="C15">
        <v>999</v>
      </c>
      <c r="D15">
        <v>63.791146424517599</v>
      </c>
      <c r="E15">
        <v>72.601744186046503</v>
      </c>
      <c r="F15">
        <v>1.21594532159611E-5</v>
      </c>
      <c r="G15">
        <v>19.138079514477401</v>
      </c>
      <c r="H15">
        <v>9.2083834956955907E-2</v>
      </c>
      <c r="I15">
        <f t="shared" si="0"/>
        <v>0.66484666484666488</v>
      </c>
      <c r="J15">
        <f t="shared" si="1"/>
        <v>9.2561744601912632E-2</v>
      </c>
      <c r="K15">
        <f t="shared" si="2"/>
        <v>0.55453804481829738</v>
      </c>
      <c r="L15" s="34">
        <f t="shared" si="3"/>
        <v>0.79709785809658618</v>
      </c>
    </row>
    <row r="16" spans="1:12">
      <c r="A16" t="s">
        <v>640</v>
      </c>
      <c r="B16">
        <v>462</v>
      </c>
      <c r="C16">
        <v>864</v>
      </c>
      <c r="D16">
        <v>52.440408626560703</v>
      </c>
      <c r="E16">
        <v>62.790697674418603</v>
      </c>
      <c r="F16">
        <v>1.3731323052424799E-6</v>
      </c>
      <c r="G16">
        <v>23.317940351650499</v>
      </c>
      <c r="H16">
        <v>0.101643430444063</v>
      </c>
      <c r="I16">
        <f t="shared" si="0"/>
        <v>0.65340758419517375</v>
      </c>
      <c r="J16">
        <f t="shared" si="1"/>
        <v>8.7530962617683505E-2</v>
      </c>
      <c r="K16">
        <f t="shared" si="2"/>
        <v>0.5503973212247979</v>
      </c>
      <c r="L16" s="34">
        <f t="shared" si="3"/>
        <v>0.77569685501684693</v>
      </c>
    </row>
    <row r="17" spans="1:12">
      <c r="A17" t="s">
        <v>641</v>
      </c>
      <c r="B17">
        <v>578</v>
      </c>
      <c r="C17">
        <v>971</v>
      </c>
      <c r="D17">
        <v>65.607264472190707</v>
      </c>
      <c r="E17">
        <v>70.566860465116307</v>
      </c>
      <c r="F17">
        <v>1.50681887960789E-2</v>
      </c>
      <c r="G17">
        <v>5.9084775630321502</v>
      </c>
      <c r="H17">
        <v>5.1164886586608803E-2</v>
      </c>
      <c r="I17">
        <f t="shared" si="0"/>
        <v>0.7956480509018975</v>
      </c>
      <c r="J17">
        <f t="shared" si="1"/>
        <v>9.2354944421538951E-2</v>
      </c>
      <c r="K17">
        <f t="shared" si="2"/>
        <v>0.66390644926814324</v>
      </c>
      <c r="L17" s="34">
        <f t="shared" si="3"/>
        <v>0.95353166338696826</v>
      </c>
    </row>
    <row r="18" spans="1:12">
      <c r="A18" t="s">
        <v>642</v>
      </c>
      <c r="B18">
        <v>510</v>
      </c>
      <c r="C18">
        <v>832</v>
      </c>
      <c r="D18">
        <v>57.888762769579998</v>
      </c>
      <c r="E18">
        <v>60.465116279069797</v>
      </c>
      <c r="F18">
        <v>0.24111993365975501</v>
      </c>
      <c r="G18">
        <v>1.3740343530049399</v>
      </c>
      <c r="H18">
        <v>2.4673628184408301E-2</v>
      </c>
      <c r="I18">
        <f t="shared" si="0"/>
        <v>0.89881816296910644</v>
      </c>
      <c r="J18">
        <f t="shared" si="1"/>
        <v>8.7728903301726197E-2</v>
      </c>
      <c r="K18">
        <f t="shared" si="2"/>
        <v>0.75682503529659473</v>
      </c>
      <c r="L18" s="34">
        <f t="shared" si="3"/>
        <v>1.0674515937049553</v>
      </c>
    </row>
    <row r="19" spans="1:12">
      <c r="A19" t="s">
        <v>643</v>
      </c>
      <c r="B19">
        <v>355</v>
      </c>
      <c r="C19">
        <v>614</v>
      </c>
      <c r="D19">
        <v>40.295119182746902</v>
      </c>
      <c r="E19">
        <v>44.6220930232558</v>
      </c>
      <c r="F19">
        <v>4.7439243250819801E-2</v>
      </c>
      <c r="G19">
        <v>3.9297412389016202</v>
      </c>
      <c r="H19">
        <v>4.1726907361057899E-2</v>
      </c>
      <c r="I19">
        <f t="shared" si="0"/>
        <v>0.83758561325720526</v>
      </c>
      <c r="J19">
        <f t="shared" si="1"/>
        <v>8.7515955950789953E-2</v>
      </c>
      <c r="K19">
        <f t="shared" si="2"/>
        <v>0.70556027929776088</v>
      </c>
      <c r="L19" s="34">
        <f t="shared" si="3"/>
        <v>0.99431569508659989</v>
      </c>
    </row>
  </sheetData>
  <conditionalFormatting sqref="F1">
    <cfRule type="cellIs" dxfId="9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8DE5-EAAE-478E-9775-52943090BEE1}">
  <dimension ref="A1:L19"/>
  <sheetViews>
    <sheetView workbookViewId="0">
      <selection activeCell="A19" sqref="A19"/>
    </sheetView>
  </sheetViews>
  <sheetFormatPr defaultRowHeight="12.75"/>
  <cols>
    <col min="1" max="1" width="74" bestFit="1" customWidth="1"/>
    <col min="2" max="2" width="15.140625" bestFit="1" customWidth="1"/>
    <col min="3" max="3" width="18.42578125" bestFit="1" customWidth="1"/>
    <col min="4" max="4" width="12.42578125" bestFit="1" customWidth="1"/>
    <col min="5" max="5" width="15.7109375" bestFit="1" customWidth="1"/>
    <col min="6" max="6" width="20.28515625" bestFit="1" customWidth="1"/>
    <col min="7" max="8" width="12.42578125" bestFit="1" customWidth="1"/>
    <col min="9" max="10" width="12" bestFit="1" customWidth="1"/>
    <col min="11" max="11" width="16.5703125" bestFit="1" customWidth="1"/>
    <col min="12" max="12" width="16.28515625" bestFit="1" customWidth="1"/>
  </cols>
  <sheetData>
    <row r="1" spans="1:12">
      <c r="A1" s="2" t="s">
        <v>625</v>
      </c>
      <c r="B1" s="16" t="s">
        <v>321</v>
      </c>
      <c r="C1" s="16" t="s">
        <v>322</v>
      </c>
      <c r="D1" s="24" t="s">
        <v>323</v>
      </c>
      <c r="E1" s="24" t="s">
        <v>324</v>
      </c>
      <c r="F1" s="25" t="s">
        <v>619</v>
      </c>
      <c r="G1" s="16" t="s">
        <v>319</v>
      </c>
      <c r="H1" s="16" t="s">
        <v>320</v>
      </c>
      <c r="I1" s="2" t="s">
        <v>620</v>
      </c>
      <c r="J1" s="2" t="s">
        <v>621</v>
      </c>
      <c r="K1" s="2" t="s">
        <v>623</v>
      </c>
      <c r="L1" s="2" t="s">
        <v>622</v>
      </c>
    </row>
    <row r="2" spans="1:12">
      <c r="A2" t="s">
        <v>626</v>
      </c>
      <c r="B2">
        <v>601</v>
      </c>
      <c r="C2">
        <v>844</v>
      </c>
      <c r="D2">
        <v>68.217934165720806</v>
      </c>
      <c r="E2">
        <v>61.337209302325597</v>
      </c>
      <c r="F2">
        <v>1.0465592890069699E-3</v>
      </c>
      <c r="G2">
        <v>10.743328451536501</v>
      </c>
      <c r="H2">
        <v>6.8992780380186206E-2</v>
      </c>
      <c r="I2">
        <f xml:space="preserve"> (B2 / (881 - B2)) / (C2 / (1376 - C2))</f>
        <v>1.3529620853080568</v>
      </c>
      <c r="J2">
        <f>SQRT(1/B2 + 1/(881 - B2) + 1/C2+ 1/(1376 - C2))</f>
        <v>9.1103542486485833E-2</v>
      </c>
      <c r="K2">
        <f xml:space="preserve"> EXP(LN(I2) - 1.96 * J2)</f>
        <v>1.1317140963713959</v>
      </c>
      <c r="L2" s="34">
        <f xml:space="preserve"> EXP(LN(I2) + 1.96 * J2)</f>
        <v>1.6174636422310731</v>
      </c>
    </row>
    <row r="3" spans="1:12">
      <c r="A3" t="s">
        <v>627</v>
      </c>
      <c r="B3">
        <v>754</v>
      </c>
      <c r="C3">
        <v>1139</v>
      </c>
      <c r="D3">
        <v>85.584562996594798</v>
      </c>
      <c r="E3">
        <v>82.776162790697697</v>
      </c>
      <c r="F3">
        <v>8.7076566907271599E-2</v>
      </c>
      <c r="G3">
        <v>2.9276052707962701</v>
      </c>
      <c r="H3">
        <v>3.6015585601254299E-2</v>
      </c>
      <c r="I3">
        <f t="shared" ref="I3:I19" si="0" xml:space="preserve"> (B3 / (881 - B3)) / (C3 / (1376 - C3))</f>
        <v>1.2353563355063497</v>
      </c>
      <c r="J3">
        <f t="shared" ref="J3:J19" si="1">SQRT(1/B3 + 1/(881 - B3) + 1/C3+ 1/(1376 - C3))</f>
        <v>0.11957277325223434</v>
      </c>
      <c r="K3">
        <f t="shared" ref="K3:K19" si="2" xml:space="preserve"> EXP(LN(I3) - 1.96 * J3)</f>
        <v>0.97725937966315701</v>
      </c>
      <c r="L3" s="34">
        <f t="shared" ref="L3:L19" si="3" xml:space="preserve"> EXP(LN(I3) + 1.96 * J3)</f>
        <v>1.5616174246408325</v>
      </c>
    </row>
    <row r="4" spans="1:12">
      <c r="A4" t="s">
        <v>628</v>
      </c>
      <c r="B4">
        <v>598</v>
      </c>
      <c r="C4">
        <v>870</v>
      </c>
      <c r="D4">
        <v>67.8774120317821</v>
      </c>
      <c r="E4">
        <v>63.226744186046503</v>
      </c>
      <c r="F4">
        <v>2.67524685446143E-2</v>
      </c>
      <c r="G4">
        <v>4.9067153256623097</v>
      </c>
      <c r="H4">
        <v>4.6626160201027202E-2</v>
      </c>
      <c r="I4">
        <f t="shared" si="0"/>
        <v>1.2289833881645749</v>
      </c>
      <c r="J4">
        <f t="shared" si="1"/>
        <v>9.1277158038612166E-2</v>
      </c>
      <c r="K4">
        <f t="shared" si="2"/>
        <v>1.0276597031743178</v>
      </c>
      <c r="L4" s="34">
        <f t="shared" si="3"/>
        <v>1.4697473917864374</v>
      </c>
    </row>
    <row r="5" spans="1:12">
      <c r="A5" t="s">
        <v>629</v>
      </c>
      <c r="B5">
        <v>666</v>
      </c>
      <c r="C5">
        <v>956</v>
      </c>
      <c r="D5">
        <v>75.595913734392695</v>
      </c>
      <c r="E5">
        <v>69.476744186046503</v>
      </c>
      <c r="F5">
        <v>1.89710078575603E-3</v>
      </c>
      <c r="G5">
        <v>9.6465255175053102</v>
      </c>
      <c r="H5">
        <v>6.5376200848265995E-2</v>
      </c>
      <c r="I5">
        <f t="shared" si="0"/>
        <v>1.3609029872530893</v>
      </c>
      <c r="J5">
        <f t="shared" si="1"/>
        <v>9.7875644456392047E-2</v>
      </c>
      <c r="K5">
        <f t="shared" si="2"/>
        <v>1.1233465009082164</v>
      </c>
      <c r="L5" s="34">
        <f t="shared" si="3"/>
        <v>1.6486960516786311</v>
      </c>
    </row>
    <row r="6" spans="1:12">
      <c r="A6" t="s">
        <v>630</v>
      </c>
      <c r="B6">
        <v>622</v>
      </c>
      <c r="C6">
        <v>1007</v>
      </c>
      <c r="D6">
        <v>70.601589103291701</v>
      </c>
      <c r="E6">
        <v>73.183139534883693</v>
      </c>
      <c r="F6">
        <v>0.19812050104699799</v>
      </c>
      <c r="G6">
        <v>1.6561754354004099</v>
      </c>
      <c r="H6">
        <v>2.7088651744694301E-2</v>
      </c>
      <c r="I6">
        <f t="shared" si="0"/>
        <v>0.88000981546165269</v>
      </c>
      <c r="J6">
        <f t="shared" si="1"/>
        <v>9.5769497557728775E-2</v>
      </c>
      <c r="K6">
        <f t="shared" si="2"/>
        <v>0.72940187292364234</v>
      </c>
      <c r="L6" s="34">
        <f t="shared" si="3"/>
        <v>1.061715501503685</v>
      </c>
    </row>
    <row r="7" spans="1:12">
      <c r="A7" t="s">
        <v>631</v>
      </c>
      <c r="B7">
        <v>688</v>
      </c>
      <c r="C7">
        <v>969</v>
      </c>
      <c r="D7">
        <v>78.093076049943207</v>
      </c>
      <c r="E7">
        <v>70.421511627906995</v>
      </c>
      <c r="F7">
        <v>7.0188191763055494E-5</v>
      </c>
      <c r="G7">
        <v>15.8057685451127</v>
      </c>
      <c r="H7">
        <v>8.3683922663333896E-2</v>
      </c>
      <c r="I7">
        <f t="shared" si="0"/>
        <v>1.4972756487378152</v>
      </c>
      <c r="J7">
        <f t="shared" si="1"/>
        <v>0.10061724366837224</v>
      </c>
      <c r="K7">
        <f t="shared" si="2"/>
        <v>1.2292908089259664</v>
      </c>
      <c r="L7" s="34">
        <f t="shared" si="3"/>
        <v>1.8236810623044843</v>
      </c>
    </row>
    <row r="8" spans="1:12">
      <c r="A8" t="s">
        <v>632</v>
      </c>
      <c r="B8">
        <v>459</v>
      </c>
      <c r="C8">
        <v>772</v>
      </c>
      <c r="D8">
        <v>52.099886492621998</v>
      </c>
      <c r="E8">
        <v>56.104651162790702</v>
      </c>
      <c r="F8">
        <v>6.8662368660074094E-2</v>
      </c>
      <c r="G8">
        <v>3.3147115671529299</v>
      </c>
      <c r="H8">
        <v>3.8322787620687901E-2</v>
      </c>
      <c r="I8">
        <f t="shared" si="0"/>
        <v>0.85098101809788085</v>
      </c>
      <c r="J8">
        <f t="shared" si="1"/>
        <v>8.6598403048531322E-2</v>
      </c>
      <c r="K8">
        <f t="shared" si="2"/>
        <v>0.71813455424169026</v>
      </c>
      <c r="L8" s="34">
        <f t="shared" si="3"/>
        <v>1.0084025185608667</v>
      </c>
    </row>
    <row r="9" spans="1:12">
      <c r="A9" t="s">
        <v>633</v>
      </c>
      <c r="B9">
        <v>737</v>
      </c>
      <c r="C9">
        <v>1119</v>
      </c>
      <c r="D9">
        <v>83.654937570942096</v>
      </c>
      <c r="E9">
        <v>81.322674418604606</v>
      </c>
      <c r="F9">
        <v>0.17457332184381799</v>
      </c>
      <c r="G9">
        <v>1.8432259033330101</v>
      </c>
      <c r="H9">
        <v>2.85774519353919E-2</v>
      </c>
      <c r="I9">
        <f t="shared" si="0"/>
        <v>1.1754604805878266</v>
      </c>
      <c r="J9">
        <f t="shared" si="1"/>
        <v>0.11439406531972635</v>
      </c>
      <c r="K9">
        <f t="shared" si="2"/>
        <v>0.93936383995768802</v>
      </c>
      <c r="L9" s="34">
        <f t="shared" si="3"/>
        <v>1.4708968800480982</v>
      </c>
    </row>
    <row r="10" spans="1:12">
      <c r="A10" t="s">
        <v>634</v>
      </c>
      <c r="B10">
        <v>510</v>
      </c>
      <c r="C10">
        <v>739</v>
      </c>
      <c r="D10">
        <v>57.888762769579998</v>
      </c>
      <c r="E10">
        <v>53.706395348837198</v>
      </c>
      <c r="F10">
        <v>5.6607482797605399E-2</v>
      </c>
      <c r="G10">
        <v>3.6340917618502502</v>
      </c>
      <c r="H10">
        <v>4.0126581735071297E-2</v>
      </c>
      <c r="I10">
        <f t="shared" si="0"/>
        <v>1.1849260857354407</v>
      </c>
      <c r="J10">
        <f t="shared" si="1"/>
        <v>8.7058835215819183E-2</v>
      </c>
      <c r="K10">
        <f t="shared" si="2"/>
        <v>0.99904553650222327</v>
      </c>
      <c r="L10" s="34">
        <f t="shared" si="3"/>
        <v>1.4053912232790284</v>
      </c>
    </row>
    <row r="11" spans="1:12">
      <c r="A11" t="s">
        <v>635</v>
      </c>
      <c r="B11">
        <v>630</v>
      </c>
      <c r="C11">
        <v>913</v>
      </c>
      <c r="D11">
        <v>71.509648127128301</v>
      </c>
      <c r="E11">
        <v>66.351744186046503</v>
      </c>
      <c r="F11">
        <v>1.16018433669134E-2</v>
      </c>
      <c r="G11">
        <v>6.3707212257273103</v>
      </c>
      <c r="H11">
        <v>5.3128618256630802E-2</v>
      </c>
      <c r="I11">
        <f t="shared" si="0"/>
        <v>1.2728494565003949</v>
      </c>
      <c r="J11">
        <f t="shared" si="1"/>
        <v>9.3949362946542422E-2</v>
      </c>
      <c r="K11">
        <f t="shared" si="2"/>
        <v>1.0587800005146564</v>
      </c>
      <c r="L11" s="34">
        <f t="shared" si="3"/>
        <v>1.530200549808103</v>
      </c>
    </row>
    <row r="12" spans="1:12">
      <c r="A12" t="s">
        <v>636</v>
      </c>
      <c r="B12">
        <v>405</v>
      </c>
      <c r="C12">
        <v>481</v>
      </c>
      <c r="D12">
        <v>45.9704880817253</v>
      </c>
      <c r="E12">
        <v>34.956395348837198</v>
      </c>
      <c r="F12">
        <v>2.1822440088806601E-7</v>
      </c>
      <c r="G12">
        <v>26.864557089251299</v>
      </c>
      <c r="H12">
        <v>0.109099827239146</v>
      </c>
      <c r="I12">
        <f t="shared" si="0"/>
        <v>1.5831644508115095</v>
      </c>
      <c r="J12">
        <f t="shared" si="1"/>
        <v>8.8126594472723488E-2</v>
      </c>
      <c r="K12">
        <f t="shared" si="2"/>
        <v>1.3320212638973499</v>
      </c>
      <c r="L12" s="34">
        <f t="shared" si="3"/>
        <v>1.8816589090926561</v>
      </c>
    </row>
    <row r="13" spans="1:12">
      <c r="A13" t="s">
        <v>637</v>
      </c>
      <c r="B13">
        <v>480</v>
      </c>
      <c r="C13">
        <v>656</v>
      </c>
      <c r="D13">
        <v>54.483541430193</v>
      </c>
      <c r="E13">
        <v>47.674418604651201</v>
      </c>
      <c r="F13">
        <v>1.85175282941592E-3</v>
      </c>
      <c r="G13">
        <v>9.69097473937736</v>
      </c>
      <c r="H13">
        <v>6.5526647839174196E-2</v>
      </c>
      <c r="I13">
        <f t="shared" si="0"/>
        <v>1.3137886989842469</v>
      </c>
      <c r="J13">
        <f t="shared" si="1"/>
        <v>8.6546970207856344E-2</v>
      </c>
      <c r="K13">
        <f t="shared" si="2"/>
        <v>1.1088051987323988</v>
      </c>
      <c r="L13" s="34">
        <f t="shared" si="3"/>
        <v>1.5566672554854117</v>
      </c>
    </row>
    <row r="14" spans="1:12">
      <c r="A14" t="s">
        <v>638</v>
      </c>
      <c r="B14">
        <v>349</v>
      </c>
      <c r="C14">
        <v>514</v>
      </c>
      <c r="D14">
        <v>39.614074914869498</v>
      </c>
      <c r="E14">
        <v>37.354651162790702</v>
      </c>
      <c r="F14">
        <v>0.30154709593592699</v>
      </c>
      <c r="G14">
        <v>1.06733980002896</v>
      </c>
      <c r="H14">
        <v>2.1746309889494001E-2</v>
      </c>
      <c r="I14">
        <f t="shared" si="0"/>
        <v>1.1001652965097568</v>
      </c>
      <c r="J14">
        <f t="shared" si="1"/>
        <v>8.8603876101825657E-2</v>
      </c>
      <c r="K14">
        <f t="shared" si="2"/>
        <v>0.92477653069913346</v>
      </c>
      <c r="L14" s="34">
        <f t="shared" si="3"/>
        <v>1.3088174704534976</v>
      </c>
    </row>
    <row r="15" spans="1:12">
      <c r="A15" t="s">
        <v>639</v>
      </c>
      <c r="B15">
        <v>479</v>
      </c>
      <c r="C15">
        <v>749</v>
      </c>
      <c r="D15">
        <v>54.370034052213398</v>
      </c>
      <c r="E15">
        <v>54.433139534883701</v>
      </c>
      <c r="F15">
        <v>1</v>
      </c>
      <c r="G15">
        <v>0</v>
      </c>
      <c r="H15">
        <v>0</v>
      </c>
      <c r="I15">
        <f t="shared" si="0"/>
        <v>0.99745929896578533</v>
      </c>
      <c r="J15">
        <f t="shared" si="1"/>
        <v>8.6632872962133595E-2</v>
      </c>
      <c r="K15">
        <f t="shared" si="2"/>
        <v>0.84168927484615785</v>
      </c>
      <c r="L15" s="34">
        <f t="shared" si="3"/>
        <v>1.182057420507308</v>
      </c>
    </row>
    <row r="16" spans="1:12">
      <c r="A16" t="s">
        <v>640</v>
      </c>
      <c r="B16">
        <v>374</v>
      </c>
      <c r="C16">
        <v>756</v>
      </c>
      <c r="D16">
        <v>42.451759364358701</v>
      </c>
      <c r="E16">
        <v>54.941860465116299</v>
      </c>
      <c r="F16">
        <v>9.1285679615200805E-9</v>
      </c>
      <c r="G16">
        <v>33.018509071733497</v>
      </c>
      <c r="H16">
        <v>0.120951971031038</v>
      </c>
      <c r="I16">
        <f t="shared" si="0"/>
        <v>0.60496957932855377</v>
      </c>
      <c r="J16">
        <f t="shared" si="1"/>
        <v>8.7073749935171779E-2</v>
      </c>
      <c r="K16">
        <f t="shared" si="2"/>
        <v>0.5100524812277174</v>
      </c>
      <c r="L16" s="34">
        <f t="shared" si="3"/>
        <v>0.71755006667552834</v>
      </c>
    </row>
    <row r="17" spans="1:12">
      <c r="A17" t="s">
        <v>641</v>
      </c>
      <c r="B17">
        <v>396</v>
      </c>
      <c r="C17">
        <v>686</v>
      </c>
      <c r="D17">
        <v>44.948921679909198</v>
      </c>
      <c r="E17">
        <v>49.854651162790702</v>
      </c>
      <c r="F17">
        <v>2.5574412819431298E-2</v>
      </c>
      <c r="G17">
        <v>4.9845650870274101</v>
      </c>
      <c r="H17">
        <v>4.6994589037160001E-2</v>
      </c>
      <c r="I17">
        <f t="shared" si="0"/>
        <v>0.82125574824922609</v>
      </c>
      <c r="J17">
        <f t="shared" si="1"/>
        <v>8.6568524910595107E-2</v>
      </c>
      <c r="K17">
        <f t="shared" si="2"/>
        <v>0.69309027685652602</v>
      </c>
      <c r="L17" s="34">
        <f t="shared" si="3"/>
        <v>0.97312143389368866</v>
      </c>
    </row>
    <row r="18" spans="1:12">
      <c r="A18" t="s">
        <v>642</v>
      </c>
      <c r="B18">
        <v>428</v>
      </c>
      <c r="C18">
        <v>645</v>
      </c>
      <c r="D18">
        <v>48.581157775255399</v>
      </c>
      <c r="E18">
        <v>46.875</v>
      </c>
      <c r="F18">
        <v>0.45410894359524401</v>
      </c>
      <c r="G18">
        <v>0.56037560897608496</v>
      </c>
      <c r="H18">
        <v>1.5757010788895399E-2</v>
      </c>
      <c r="I18">
        <f t="shared" si="0"/>
        <v>1.0707873436350259</v>
      </c>
      <c r="J18">
        <f t="shared" si="1"/>
        <v>8.6384783207932012E-2</v>
      </c>
      <c r="K18">
        <f t="shared" si="2"/>
        <v>0.90400538474192249</v>
      </c>
      <c r="L18" s="34">
        <f t="shared" si="3"/>
        <v>1.2683392761164636</v>
      </c>
    </row>
    <row r="19" spans="1:12">
      <c r="A19" t="s">
        <v>643</v>
      </c>
      <c r="B19">
        <v>327</v>
      </c>
      <c r="C19">
        <v>524</v>
      </c>
      <c r="D19">
        <v>37.116912599319001</v>
      </c>
      <c r="E19">
        <v>38.081395348837198</v>
      </c>
      <c r="F19">
        <v>0.67690100995278302</v>
      </c>
      <c r="G19">
        <v>0.17363529502321601</v>
      </c>
      <c r="H19">
        <v>8.7710830886594798E-3</v>
      </c>
      <c r="I19">
        <f t="shared" si="0"/>
        <v>0.95972386805191934</v>
      </c>
      <c r="J19">
        <f t="shared" si="1"/>
        <v>8.9136210340761038E-2</v>
      </c>
      <c r="K19">
        <f t="shared" si="2"/>
        <v>0.80588305052330722</v>
      </c>
      <c r="L19" s="34">
        <f t="shared" si="3"/>
        <v>1.1429324668268344</v>
      </c>
    </row>
  </sheetData>
  <conditionalFormatting sqref="F1">
    <cfRule type="cellIs" dxfId="8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D0E8-ECA2-4F76-85B5-8854F11FF306}">
  <dimension ref="A1:L19"/>
  <sheetViews>
    <sheetView workbookViewId="0">
      <selection activeCell="E14" sqref="E14"/>
    </sheetView>
  </sheetViews>
  <sheetFormatPr defaultRowHeight="12.75"/>
  <cols>
    <col min="1" max="1" width="30.5703125" customWidth="1"/>
    <col min="2" max="2" width="15.140625" bestFit="1" customWidth="1"/>
    <col min="3" max="3" width="18.42578125" bestFit="1" customWidth="1"/>
    <col min="4" max="4" width="12.42578125" bestFit="1" customWidth="1"/>
    <col min="5" max="5" width="15.7109375" bestFit="1" customWidth="1"/>
    <col min="6" max="6" width="20.28515625" bestFit="1" customWidth="1"/>
    <col min="7" max="8" width="12.42578125" bestFit="1" customWidth="1"/>
    <col min="9" max="10" width="12" bestFit="1" customWidth="1"/>
    <col min="11" max="11" width="16.5703125" bestFit="1" customWidth="1"/>
    <col min="12" max="12" width="16.28515625" bestFit="1" customWidth="1"/>
  </cols>
  <sheetData>
    <row r="1" spans="1:12">
      <c r="A1" s="3" t="s">
        <v>649</v>
      </c>
      <c r="B1" s="17" t="s">
        <v>321</v>
      </c>
      <c r="C1" s="17" t="s">
        <v>322</v>
      </c>
      <c r="D1" s="17" t="s">
        <v>323</v>
      </c>
      <c r="E1" s="17" t="s">
        <v>324</v>
      </c>
      <c r="F1" s="35" t="s">
        <v>619</v>
      </c>
      <c r="G1" s="17" t="s">
        <v>319</v>
      </c>
      <c r="H1" s="17" t="s">
        <v>320</v>
      </c>
      <c r="I1" s="3" t="s">
        <v>620</v>
      </c>
      <c r="J1" s="3" t="s">
        <v>621</v>
      </c>
      <c r="K1" s="3" t="s">
        <v>623</v>
      </c>
      <c r="L1" s="3" t="s">
        <v>622</v>
      </c>
    </row>
    <row r="2" spans="1:12">
      <c r="A2" s="1" t="s">
        <v>644</v>
      </c>
      <c r="B2" s="1">
        <v>779</v>
      </c>
      <c r="C2" s="1">
        <v>1181</v>
      </c>
      <c r="D2" s="1">
        <v>88.422247446084</v>
      </c>
      <c r="E2" s="1">
        <v>85.828488372093005</v>
      </c>
      <c r="F2" s="1">
        <v>8.6454854206597695E-2</v>
      </c>
      <c r="G2" s="1">
        <v>2.93917547439339</v>
      </c>
      <c r="H2" s="1">
        <v>3.6086684112329202E-2</v>
      </c>
      <c r="I2" s="1">
        <f xml:space="preserve"> (B2 / (881 - B2)) / (C2 / (1376 - C2))</f>
        <v>1.261020072720028</v>
      </c>
      <c r="J2" s="1">
        <f>SQRT(1/B2 + 1/(881 - B2) + 1/C2+ 1/(1376 - C2))</f>
        <v>0.13062374897059789</v>
      </c>
      <c r="K2" s="1">
        <f xml:space="preserve"> EXP(LN(I2) - 1.96 * J2)</f>
        <v>0.97618655049674041</v>
      </c>
      <c r="L2" s="36">
        <f xml:space="preserve"> EXP(LN(I2) + 1.96 * J2)</f>
        <v>1.6289628483343201</v>
      </c>
    </row>
    <row r="3" spans="1:12">
      <c r="A3" s="1" t="s">
        <v>645</v>
      </c>
      <c r="B3" s="1">
        <v>538</v>
      </c>
      <c r="C3" s="1">
        <v>778</v>
      </c>
      <c r="D3" s="1">
        <v>61.066969353007899</v>
      </c>
      <c r="E3" s="1">
        <v>56.540697674418603</v>
      </c>
      <c r="F3" s="1">
        <v>3.71785369668447E-2</v>
      </c>
      <c r="G3" s="1">
        <v>4.3422144886373797</v>
      </c>
      <c r="H3" s="1">
        <v>4.3862144016570098E-2</v>
      </c>
      <c r="I3" s="1">
        <f t="shared" ref="I3:I6" si="0" xml:space="preserve"> (B3 / (881 - B3)) / (C3 / (1376 - C3))</f>
        <v>1.2056180533175445</v>
      </c>
      <c r="J3" s="1">
        <f t="shared" ref="J3:J6" si="1">SQRT(1/B3 + 1/(881 - B3) + 1/C3+ 1/(1376 - C3))</f>
        <v>8.7930516892036237E-2</v>
      </c>
      <c r="K3" s="1">
        <f t="shared" ref="K3:K6" si="2" xml:space="preserve"> EXP(LN(I3) - 1.96 * J3)</f>
        <v>1.0147563451732731</v>
      </c>
      <c r="L3" s="36">
        <f t="shared" ref="L3:L6" si="3" xml:space="preserve"> EXP(LN(I3) + 1.96 * J3)</f>
        <v>1.4323782230078028</v>
      </c>
    </row>
    <row r="4" spans="1:12">
      <c r="A4" s="1" t="s">
        <v>646</v>
      </c>
      <c r="B4" s="1">
        <v>504</v>
      </c>
      <c r="C4" s="1">
        <v>847</v>
      </c>
      <c r="D4" s="1">
        <v>57.207718501702601</v>
      </c>
      <c r="E4" s="1">
        <v>61.555232558139501</v>
      </c>
      <c r="F4" s="1">
        <v>4.4276666085226297E-2</v>
      </c>
      <c r="G4" s="1">
        <v>4.0459799164554999</v>
      </c>
      <c r="H4" s="1">
        <v>4.2339534784695598E-2</v>
      </c>
      <c r="I4" s="1">
        <f t="shared" si="0"/>
        <v>0.83495188197382553</v>
      </c>
      <c r="J4" s="1">
        <f t="shared" si="1"/>
        <v>8.7793186469919529E-2</v>
      </c>
      <c r="K4" s="1">
        <f t="shared" si="2"/>
        <v>0.70295962050230298</v>
      </c>
      <c r="L4" s="36">
        <f t="shared" si="3"/>
        <v>0.9917278672614015</v>
      </c>
    </row>
    <row r="5" spans="1:12">
      <c r="A5" s="1" t="s">
        <v>647</v>
      </c>
      <c r="B5" s="1">
        <v>624</v>
      </c>
      <c r="C5" s="1">
        <v>1100</v>
      </c>
      <c r="D5" s="1">
        <v>70.828603859250805</v>
      </c>
      <c r="E5" s="1">
        <v>79.941860465116307</v>
      </c>
      <c r="F5" s="1">
        <v>8.5646242837819698E-7</v>
      </c>
      <c r="G5" s="1">
        <v>24.2264880947154</v>
      </c>
      <c r="H5" s="1">
        <v>0.10360469864857801</v>
      </c>
      <c r="I5" s="1">
        <f t="shared" si="0"/>
        <v>0.6092111779271312</v>
      </c>
      <c r="J5" s="1">
        <f t="shared" si="1"/>
        <v>0.10012938630147346</v>
      </c>
      <c r="K5" s="1">
        <f t="shared" si="2"/>
        <v>0.50065206172216525</v>
      </c>
      <c r="L5" s="36">
        <f t="shared" si="3"/>
        <v>0.74130975918625963</v>
      </c>
    </row>
    <row r="6" spans="1:12">
      <c r="A6" s="1" t="s">
        <v>648</v>
      </c>
      <c r="B6" s="1">
        <v>710</v>
      </c>
      <c r="C6" s="1">
        <v>1225</v>
      </c>
      <c r="D6" s="1">
        <v>80.590238365493803</v>
      </c>
      <c r="E6" s="1">
        <v>89.026162790697697</v>
      </c>
      <c r="F6" s="1">
        <v>3.2296182197403998E-8</v>
      </c>
      <c r="G6" s="1">
        <v>30.564424007232301</v>
      </c>
      <c r="H6" s="1">
        <v>0.11637034674601</v>
      </c>
      <c r="I6" s="1">
        <f t="shared" si="0"/>
        <v>0.51180331781835542</v>
      </c>
      <c r="J6" s="1">
        <f t="shared" si="1"/>
        <v>0.1212239539344566</v>
      </c>
      <c r="K6" s="1">
        <f t="shared" si="2"/>
        <v>0.40356657045388888</v>
      </c>
      <c r="L6" s="36">
        <f t="shared" si="3"/>
        <v>0.64906921263391859</v>
      </c>
    </row>
    <row r="7" spans="1:12">
      <c r="L7" s="34"/>
    </row>
    <row r="8" spans="1:12">
      <c r="L8" s="34"/>
    </row>
    <row r="9" spans="1:12">
      <c r="L9" s="34"/>
    </row>
    <row r="10" spans="1:12">
      <c r="L10" s="34"/>
    </row>
    <row r="11" spans="1:12">
      <c r="L11" s="34"/>
    </row>
    <row r="12" spans="1:12">
      <c r="L12" s="34"/>
    </row>
    <row r="13" spans="1:12">
      <c r="L13" s="34"/>
    </row>
    <row r="14" spans="1:12">
      <c r="L14" s="34"/>
    </row>
    <row r="15" spans="1:12">
      <c r="L15" s="34"/>
    </row>
    <row r="16" spans="1:12">
      <c r="L16" s="34"/>
    </row>
    <row r="17" spans="12:12">
      <c r="L17" s="34"/>
    </row>
    <row r="18" spans="12:12">
      <c r="L18" s="34"/>
    </row>
    <row r="19" spans="12:12">
      <c r="L19" s="34"/>
    </row>
  </sheetData>
  <conditionalFormatting sqref="F1">
    <cfRule type="cellIs" dxfId="10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ADBE-6BEF-43E7-B38B-E70C4CE1F7E5}">
  <dimension ref="A1:L19"/>
  <sheetViews>
    <sheetView workbookViewId="0">
      <selection activeCell="D18" sqref="D18"/>
    </sheetView>
  </sheetViews>
  <sheetFormatPr defaultRowHeight="12.75"/>
  <cols>
    <col min="1" max="1" width="30.5703125" customWidth="1"/>
    <col min="2" max="2" width="15.140625" bestFit="1" customWidth="1"/>
    <col min="3" max="3" width="18.42578125" bestFit="1" customWidth="1"/>
    <col min="4" max="4" width="12.42578125" bestFit="1" customWidth="1"/>
    <col min="5" max="5" width="15.7109375" bestFit="1" customWidth="1"/>
    <col min="6" max="6" width="20.28515625" bestFit="1" customWidth="1"/>
    <col min="7" max="8" width="12.42578125" bestFit="1" customWidth="1"/>
    <col min="9" max="10" width="12" bestFit="1" customWidth="1"/>
    <col min="11" max="11" width="16.5703125" bestFit="1" customWidth="1"/>
    <col min="12" max="12" width="16.28515625" bestFit="1" customWidth="1"/>
  </cols>
  <sheetData>
    <row r="1" spans="1:12">
      <c r="A1" s="3" t="s">
        <v>649</v>
      </c>
      <c r="B1" s="17" t="s">
        <v>321</v>
      </c>
      <c r="C1" s="17" t="s">
        <v>322</v>
      </c>
      <c r="D1" s="17" t="s">
        <v>323</v>
      </c>
      <c r="E1" s="17" t="s">
        <v>324</v>
      </c>
      <c r="F1" s="35" t="s">
        <v>619</v>
      </c>
      <c r="G1" s="17" t="s">
        <v>319</v>
      </c>
      <c r="H1" s="17" t="s">
        <v>320</v>
      </c>
      <c r="I1" s="3" t="s">
        <v>620</v>
      </c>
      <c r="J1" s="3" t="s">
        <v>621</v>
      </c>
      <c r="K1" s="3" t="s">
        <v>623</v>
      </c>
      <c r="L1" s="3" t="s">
        <v>622</v>
      </c>
    </row>
    <row r="2" spans="1:12">
      <c r="A2" s="1" t="s">
        <v>644</v>
      </c>
      <c r="B2" s="1">
        <v>781</v>
      </c>
      <c r="C2" s="1">
        <v>1097</v>
      </c>
      <c r="D2" s="1">
        <v>88.649262202043104</v>
      </c>
      <c r="E2" s="1">
        <v>79.723837209302303</v>
      </c>
      <c r="F2" s="1">
        <v>4.3481225648947E-8</v>
      </c>
      <c r="G2" s="1">
        <v>29.987625628059298</v>
      </c>
      <c r="H2" s="1">
        <v>0.11526707180027</v>
      </c>
      <c r="I2" s="1">
        <f xml:space="preserve"> (B2 / (881 - B2)) / (C2 / (1376 - C2))</f>
        <v>1.9863172288058339</v>
      </c>
      <c r="J2" s="1">
        <f>SQRT(1/B2 + 1/(881 - B2) + 1/C2+ 1/(1376 - C2))</f>
        <v>0.12560340819441901</v>
      </c>
      <c r="K2" s="1">
        <f xml:space="preserve"> EXP(LN(I2) - 1.96 * J2)</f>
        <v>1.5528618841392168</v>
      </c>
      <c r="L2" s="36">
        <f xml:space="preserve"> EXP(LN(I2) + 1.96 * J2)</f>
        <v>2.5407643614344591</v>
      </c>
    </row>
    <row r="3" spans="1:12">
      <c r="A3" s="1" t="s">
        <v>645</v>
      </c>
      <c r="B3" s="1">
        <v>388</v>
      </c>
      <c r="C3" s="1">
        <v>576</v>
      </c>
      <c r="D3" s="1">
        <v>44.040862656072605</v>
      </c>
      <c r="E3" s="1">
        <v>41.860465116279101</v>
      </c>
      <c r="F3" s="1">
        <v>0.32810487318156201</v>
      </c>
      <c r="G3" s="1">
        <v>0.95636319130215397</v>
      </c>
      <c r="H3" s="1">
        <v>2.0584752362350599E-2</v>
      </c>
      <c r="I3" s="1">
        <f t="shared" ref="I3:I6" si="0" xml:space="preserve"> (B3 / (881 - B3)) / (C3 / (1376 - C3))</f>
        <v>1.0930809105251298</v>
      </c>
      <c r="J3" s="1">
        <f t="shared" ref="J3:J6" si="1">SQRT(1/B3 + 1/(881 - B3) + 1/C3+ 1/(1376 - C3))</f>
        <v>8.7131098149070163E-2</v>
      </c>
      <c r="K3" s="1">
        <f t="shared" ref="K3:K6" si="2" xml:space="preserve"> EXP(LN(I3) - 1.96 * J3)</f>
        <v>0.92147768343179592</v>
      </c>
      <c r="L3" s="36">
        <f t="shared" ref="L3:L6" si="3" xml:space="preserve"> EXP(LN(I3) + 1.96 * J3)</f>
        <v>1.2966411432826446</v>
      </c>
    </row>
    <row r="4" spans="1:12">
      <c r="A4" s="1" t="s">
        <v>646</v>
      </c>
      <c r="B4" s="1">
        <v>413</v>
      </c>
      <c r="C4" s="1">
        <v>716</v>
      </c>
      <c r="D4" s="1">
        <v>46.8785471055619</v>
      </c>
      <c r="E4" s="1">
        <v>52.034883720930203</v>
      </c>
      <c r="F4" s="1">
        <v>1.89314743618961E-2</v>
      </c>
      <c r="G4" s="1">
        <v>55.078343198872403</v>
      </c>
      <c r="H4" s="1">
        <v>4.9399739002426502E-2</v>
      </c>
      <c r="I4" s="1">
        <f t="shared" si="0"/>
        <v>0.81345795731270576</v>
      </c>
      <c r="J4" s="1">
        <f t="shared" si="1"/>
        <v>8.6428347216926799E-2</v>
      </c>
      <c r="K4" s="1">
        <f t="shared" si="2"/>
        <v>0.68669805520898275</v>
      </c>
      <c r="L4" s="36">
        <f t="shared" si="3"/>
        <v>0.96361689580434384</v>
      </c>
    </row>
    <row r="5" spans="1:12">
      <c r="A5" s="1" t="s">
        <v>647</v>
      </c>
      <c r="B5" s="1">
        <v>443</v>
      </c>
      <c r="C5" s="1">
        <v>681</v>
      </c>
      <c r="D5" s="1">
        <v>50.283768444948898</v>
      </c>
      <c r="E5" s="1">
        <v>49.491279069767394</v>
      </c>
      <c r="F5" s="1">
        <v>0.74579989553682902</v>
      </c>
      <c r="G5" s="1">
        <v>0.105094271649086</v>
      </c>
      <c r="H5" s="1">
        <v>6.8237599849272704E-3</v>
      </c>
      <c r="I5" s="1">
        <f t="shared" si="0"/>
        <v>1.0322082084498354</v>
      </c>
      <c r="J5" s="1">
        <f t="shared" si="1"/>
        <v>8.6300168412428921E-2</v>
      </c>
      <c r="K5" s="1">
        <f t="shared" si="2"/>
        <v>0.87157973109686449</v>
      </c>
      <c r="L5" s="36">
        <f t="shared" si="3"/>
        <v>1.2224398383500359</v>
      </c>
    </row>
    <row r="6" spans="1:12">
      <c r="A6" s="1" t="s">
        <v>648</v>
      </c>
      <c r="B6" s="1">
        <v>569</v>
      </c>
      <c r="C6" s="1">
        <v>1063</v>
      </c>
      <c r="D6" s="1">
        <v>64.58569807037459</v>
      </c>
      <c r="E6" s="1">
        <v>77.2529069767442</v>
      </c>
      <c r="F6" s="1">
        <v>7.3964406500316102E-10</v>
      </c>
      <c r="G6" s="1">
        <v>42.411222720424398</v>
      </c>
      <c r="H6" s="1">
        <v>0.13708016457498301</v>
      </c>
      <c r="I6" s="1">
        <f t="shared" si="0"/>
        <v>0.53699314952842703</v>
      </c>
      <c r="J6" s="1">
        <f t="shared" si="1"/>
        <v>9.5384586808732338E-2</v>
      </c>
      <c r="K6" s="1">
        <f t="shared" si="2"/>
        <v>0.44542618696212255</v>
      </c>
      <c r="L6" s="36">
        <f t="shared" si="3"/>
        <v>0.64738367675940178</v>
      </c>
    </row>
    <row r="7" spans="1:12">
      <c r="L7" s="34"/>
    </row>
    <row r="8" spans="1:12">
      <c r="L8" s="34"/>
    </row>
    <row r="9" spans="1:12">
      <c r="L9" s="34"/>
    </row>
    <row r="10" spans="1:12">
      <c r="L10" s="34"/>
    </row>
    <row r="11" spans="1:12">
      <c r="L11" s="34"/>
    </row>
    <row r="12" spans="1:12">
      <c r="L12" s="34"/>
    </row>
    <row r="13" spans="1:12">
      <c r="L13" s="34"/>
    </row>
    <row r="14" spans="1:12">
      <c r="L14" s="34"/>
    </row>
    <row r="15" spans="1:12">
      <c r="L15" s="34"/>
    </row>
    <row r="16" spans="1:12">
      <c r="L16" s="34"/>
    </row>
    <row r="17" spans="12:12">
      <c r="L17" s="34"/>
    </row>
    <row r="18" spans="12:12">
      <c r="L18" s="34"/>
    </row>
    <row r="19" spans="12:12">
      <c r="L19" s="34"/>
    </row>
  </sheetData>
  <conditionalFormatting sqref="F1">
    <cfRule type="cellIs" dxfId="7" priority="1" operator="less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2C39-47F5-4F55-B8DD-0B7CBB4CE773}">
  <sheetPr codeName="Blad1"/>
  <dimension ref="A1:T192"/>
  <sheetViews>
    <sheetView zoomScale="95" zoomScaleNormal="95" workbookViewId="0">
      <selection activeCell="O1" sqref="O1:P1"/>
    </sheetView>
  </sheetViews>
  <sheetFormatPr defaultRowHeight="12.75"/>
  <cols>
    <col min="1" max="1" width="62.28515625" style="18" bestFit="1" customWidth="1"/>
    <col min="2" max="2" width="74" style="18" customWidth="1"/>
    <col min="3" max="3" width="17.5703125" style="18" bestFit="1" customWidth="1"/>
    <col min="4" max="4" width="20.85546875" style="18" bestFit="1" customWidth="1"/>
    <col min="5" max="5" width="14.5703125" style="19" bestFit="1" customWidth="1"/>
    <col min="6" max="6" width="18" style="19" bestFit="1" customWidth="1"/>
    <col min="7" max="7" width="21.7109375" style="29" bestFit="1" customWidth="1"/>
    <col min="8" max="8" width="25" style="29" bestFit="1" customWidth="1"/>
    <col min="9" max="9" width="21" style="31" customWidth="1"/>
    <col min="10" max="10" width="18.5703125" style="18" bestFit="1" customWidth="1"/>
    <col min="11" max="11" width="15.7109375" style="19" bestFit="1" customWidth="1"/>
    <col min="12" max="12" width="26.85546875" style="18" bestFit="1" customWidth="1"/>
    <col min="13" max="13" width="23.5703125" style="18" bestFit="1" customWidth="1"/>
    <col min="14" max="14" width="13.7109375" style="18" bestFit="1" customWidth="1"/>
    <col min="15" max="15" width="5.85546875" style="18" bestFit="1" customWidth="1"/>
    <col min="16" max="16" width="5.140625" style="18" bestFit="1" customWidth="1"/>
    <col min="17" max="17" width="10.7109375" customWidth="1"/>
    <col min="18" max="18" width="11.5703125" style="18" customWidth="1"/>
    <col min="19" max="19" width="17" style="18" customWidth="1"/>
    <col min="20" max="20" width="16.42578125" style="18" customWidth="1"/>
    <col min="21" max="16384" width="9.140625" style="18"/>
  </cols>
  <sheetData>
    <row r="1" spans="1:20" s="16" customFormat="1">
      <c r="A1" s="16" t="s">
        <v>0</v>
      </c>
      <c r="B1" s="16" t="s">
        <v>333</v>
      </c>
      <c r="C1" s="16" t="s">
        <v>321</v>
      </c>
      <c r="D1" s="16" t="s">
        <v>322</v>
      </c>
      <c r="E1" s="24" t="s">
        <v>323</v>
      </c>
      <c r="F1" s="24" t="s">
        <v>324</v>
      </c>
      <c r="G1" s="26" t="s">
        <v>325</v>
      </c>
      <c r="H1" s="26" t="s">
        <v>326</v>
      </c>
      <c r="I1" s="25" t="s">
        <v>619</v>
      </c>
      <c r="J1" s="24" t="s">
        <v>329</v>
      </c>
      <c r="K1" s="24" t="s">
        <v>327</v>
      </c>
      <c r="L1" s="16" t="s">
        <v>328</v>
      </c>
      <c r="M1" s="16" t="s">
        <v>330</v>
      </c>
      <c r="N1" s="16" t="s">
        <v>331</v>
      </c>
      <c r="O1" s="16" t="s">
        <v>319</v>
      </c>
      <c r="P1" s="16" t="s">
        <v>320</v>
      </c>
      <c r="Q1" s="16" t="s">
        <v>620</v>
      </c>
      <c r="R1" s="2" t="s">
        <v>621</v>
      </c>
      <c r="S1" s="2" t="s">
        <v>623</v>
      </c>
      <c r="T1" s="2" t="s">
        <v>622</v>
      </c>
    </row>
    <row r="2" spans="1:20">
      <c r="A2" s="16" t="s">
        <v>1</v>
      </c>
      <c r="L2" s="18">
        <f>SUM($D$3:$D$150)</f>
        <v>68961</v>
      </c>
      <c r="M2" s="18">
        <f>SUM($C$3:$C$150)</f>
        <v>41328</v>
      </c>
      <c r="N2" s="18">
        <f>68961 + 41328</f>
        <v>110289</v>
      </c>
      <c r="R2"/>
      <c r="S2"/>
      <c r="T2"/>
    </row>
    <row r="3" spans="1:20">
      <c r="A3" s="20" t="s">
        <v>10</v>
      </c>
      <c r="B3" s="30" t="s">
        <v>442</v>
      </c>
      <c r="C3" s="18">
        <v>454</v>
      </c>
      <c r="D3" s="18">
        <v>678</v>
      </c>
      <c r="E3" s="19">
        <f>($C$3/881)*100</f>
        <v>51.532349602724182</v>
      </c>
      <c r="F3" s="19">
        <f>($D$3/1376)*100</f>
        <v>49.27325581395349</v>
      </c>
      <c r="G3" s="29">
        <f>($M$2 * ($C$3 + $D$3)) / $N$2</f>
        <v>424.18823273399886</v>
      </c>
      <c r="H3" s="29">
        <f>($L$2 * ($C$3 + $D$3)) / $N$2</f>
        <v>707.8117672660012</v>
      </c>
      <c r="I3" s="21">
        <f>CHITEST($C$3:$D$3,$G$3:$H$3)</f>
        <v>6.7173314741934304E-2</v>
      </c>
      <c r="J3" s="18">
        <f>SUM($C$3,$D$3)</f>
        <v>1132</v>
      </c>
      <c r="K3" s="19">
        <f>($J$3/2257*100)</f>
        <v>50.155073105892775</v>
      </c>
      <c r="O3" s="19">
        <f>(($C$3 - $G$3)^2 / $G$3) + (($D$3 - $H$3)^2 / $H$3)</f>
        <v>3.3507766156955476</v>
      </c>
      <c r="P3" s="19">
        <f>SQRT($O$3 / $J$3)</f>
        <v>5.4406341669563894E-2</v>
      </c>
      <c r="Q3">
        <f xml:space="preserve"> (C3 / (881 - C3)) / (D3 / (1376 - D3))</f>
        <v>1.094595621506981</v>
      </c>
      <c r="R3">
        <f>SQRT(1/C3 + 1/(881 - C3) + 1/D3 + 1/(1376 - D3))</f>
        <v>8.6325862617455118E-2</v>
      </c>
      <c r="S3">
        <f>EXP(LN((C3 / (881 - C3)) / (D3 / (1376 - D3))) - 1.96 * R3)</f>
        <v>0.92421209734928833</v>
      </c>
      <c r="T3" s="34">
        <f>EXP(LN((C3 / (881 - C3)) / (D3 / (1376 - D3))) + 1.96 * R3)</f>
        <v>1.2963902745469473</v>
      </c>
    </row>
    <row r="4" spans="1:20">
      <c r="A4" s="20" t="s">
        <v>11</v>
      </c>
      <c r="B4" s="20" t="s">
        <v>334</v>
      </c>
      <c r="C4" s="18">
        <v>294</v>
      </c>
      <c r="D4" s="18">
        <v>518</v>
      </c>
      <c r="E4" s="19">
        <f>($C$4/881)*100</f>
        <v>33.371169125993191</v>
      </c>
      <c r="F4" s="19">
        <f>($D$4/1376)*100</f>
        <v>37.645348837209305</v>
      </c>
      <c r="G4" s="29">
        <f>($M$2 * ($C$4 + $D$4)) / $N$2</f>
        <v>304.27636482332781</v>
      </c>
      <c r="H4" s="29">
        <f>($L$2 * ($C$4 + $D$4)) / $N$2</f>
        <v>507.72363517667219</v>
      </c>
      <c r="I4" s="21">
        <f>CHITEST($C$4:$D$4,$G$4:$H$4)</f>
        <v>0.45625776582480732</v>
      </c>
      <c r="J4" s="18">
        <f>SUM($C$4,$D$4)</f>
        <v>812</v>
      </c>
      <c r="K4" s="19">
        <f>($J$4/2257*100)</f>
        <v>35.9769605671245</v>
      </c>
      <c r="O4" s="19">
        <f>(($C$4 - $G$4)^2 / $G$4) + (($D$4 - $H$4)^2 / $H$4)</f>
        <v>0.55505939373785163</v>
      </c>
      <c r="P4" s="19">
        <f>SQRT($O$4 / $J$4)</f>
        <v>2.6145184679844339E-2</v>
      </c>
      <c r="Q4">
        <f t="shared" ref="Q4:Q67" si="0" xml:space="preserve"> (C4 / (881 - C4)) / (D4 / (1376 - D4))</f>
        <v>0.82959620608683637</v>
      </c>
      <c r="R4">
        <f t="shared" ref="R4:R67" si="1">SQRT(1/C4 + 1/(881 - C4) + 1/D4 + 1/(1376 - D4))</f>
        <v>9.0559047880361537E-2</v>
      </c>
      <c r="S4">
        <f t="shared" ref="S4:S67" si="2">EXP(LN((C4 / (881 - C4)) / (D4 / (1376 - D4))) - 1.96 * R4)</f>
        <v>0.69467447175631947</v>
      </c>
      <c r="T4" s="34">
        <f t="shared" ref="T4:T67" si="3">EXP(LN((C4 / (881 - C4)) / (D4 / (1376 - D4))) + 1.96 * R4)</f>
        <v>0.99072283945262429</v>
      </c>
    </row>
    <row r="5" spans="1:20">
      <c r="A5" s="20" t="s">
        <v>12</v>
      </c>
      <c r="B5" s="20" t="s">
        <v>335</v>
      </c>
      <c r="C5" s="18">
        <v>237</v>
      </c>
      <c r="D5" s="18">
        <v>293</v>
      </c>
      <c r="E5" s="19">
        <f>($C$5/881)*100</f>
        <v>26.901248581157777</v>
      </c>
      <c r="F5" s="19">
        <f>($D$5/1376)*100</f>
        <v>21.293604651162788</v>
      </c>
      <c r="G5" s="29">
        <f>($M$2 * ($C$5 + $D$5)) / $N$2</f>
        <v>198.60403122704892</v>
      </c>
      <c r="H5" s="29">
        <f>($L$2 * ($C$5 + $D$5)) / $N$2</f>
        <v>331.39596877295105</v>
      </c>
      <c r="I5" s="21">
        <f>CHITEST($C$5:$D$5,$G$5:$H$5)</f>
        <v>5.6994256289989601E-4</v>
      </c>
      <c r="J5" s="18">
        <f>SUM($C$5,$D$5)</f>
        <v>530</v>
      </c>
      <c r="K5" s="19">
        <f>($J$5/2257*100)</f>
        <v>23.482498892334959</v>
      </c>
      <c r="O5" s="19">
        <f>(($C$5 - $G$5)^2 / $G$5) + (($D$5 - $H$5)^2 / $H$5)</f>
        <v>11.87167089173423</v>
      </c>
      <c r="P5" s="19">
        <f>SQRT($O$5 / $J$5)</f>
        <v>0.14966422097818829</v>
      </c>
      <c r="Q5">
        <f t="shared" si="0"/>
        <v>1.3602643461302015</v>
      </c>
      <c r="R5">
        <f t="shared" si="1"/>
        <v>0.10054120862212236</v>
      </c>
      <c r="S5">
        <f t="shared" si="2"/>
        <v>1.1169684608648569</v>
      </c>
      <c r="T5" s="34">
        <f t="shared" si="3"/>
        <v>1.6565544652177038</v>
      </c>
    </row>
    <row r="6" spans="1:20">
      <c r="A6" s="20" t="s">
        <v>13</v>
      </c>
      <c r="B6" s="20" t="s">
        <v>336</v>
      </c>
      <c r="C6" s="18">
        <v>327</v>
      </c>
      <c r="D6" s="18">
        <v>585</v>
      </c>
      <c r="E6" s="19">
        <f>($C$6/881)*100</f>
        <v>37.116912599318958</v>
      </c>
      <c r="F6" s="19">
        <f>($D$6/1376)*100</f>
        <v>42.514534883720927</v>
      </c>
      <c r="G6" s="29">
        <f>($M$2 * ($C$6 + $D$6)) / $N$2</f>
        <v>341.74882354541251</v>
      </c>
      <c r="H6" s="29">
        <f>($L$2 * ($C$6 + $D$6)) / $N$2</f>
        <v>570.25117645458749</v>
      </c>
      <c r="I6" s="21">
        <f>CHITEST($C$6:$D$6,$G$6:$H$6)</f>
        <v>0.31300023507588243</v>
      </c>
      <c r="J6" s="18">
        <f>SUM($C$6,$D$6)</f>
        <v>912</v>
      </c>
      <c r="K6" s="19">
        <f>($J$6/2257*100)</f>
        <v>40.407620735489587</v>
      </c>
      <c r="O6" s="19">
        <f>(($C$6 - $G$6)^2 / $G$6) + (($D$6 - $H$6)^2 / $H$6)</f>
        <v>1.0179732824526271</v>
      </c>
      <c r="P6" s="19">
        <f>SQRT($O$6 / $J$6)</f>
        <v>3.3409561125808111E-2</v>
      </c>
      <c r="Q6">
        <f t="shared" si="0"/>
        <v>0.79810237896880487</v>
      </c>
      <c r="R6">
        <f t="shared" si="1"/>
        <v>8.8525602735716996E-2</v>
      </c>
      <c r="S6">
        <f t="shared" si="2"/>
        <v>0.67097152694338602</v>
      </c>
      <c r="T6" s="34">
        <f t="shared" si="3"/>
        <v>0.94932106913295389</v>
      </c>
    </row>
    <row r="7" spans="1:20">
      <c r="A7" s="20" t="s">
        <v>14</v>
      </c>
      <c r="B7" s="20" t="s">
        <v>337</v>
      </c>
      <c r="C7" s="18">
        <v>355</v>
      </c>
      <c r="D7" s="18">
        <v>572</v>
      </c>
      <c r="E7" s="19">
        <f>($C$7/881)*100</f>
        <v>40.29511918274688</v>
      </c>
      <c r="F7" s="19">
        <f>($D$7/1376)*100</f>
        <v>41.569767441860463</v>
      </c>
      <c r="G7" s="29">
        <f>($M$2 * ($C$7 + $D$7)) / $N$2</f>
        <v>347.36969235372521</v>
      </c>
      <c r="H7" s="29">
        <f>($L$2 * ($C$7 + $D$7)) / $N$2</f>
        <v>579.63030764627479</v>
      </c>
      <c r="I7" s="21">
        <f>CHITEST($C$7:$D$7,$G$7:$H$7)</f>
        <v>0.60464077441110331</v>
      </c>
      <c r="J7" s="18">
        <f>SUM($C$7,$D$7)</f>
        <v>927</v>
      </c>
      <c r="K7" s="19">
        <f>($J$7/2257*100)</f>
        <v>41.072219760744346</v>
      </c>
      <c r="O7" s="19">
        <f>(($C$7 - $G$7)^2 / $G$7) + (($D$7 - $H$7)^2 / $H$7)</f>
        <v>0.26805309227341323</v>
      </c>
      <c r="P7" s="19">
        <f>SQRT($O$7 / $J$7)</f>
        <v>1.7004761446064297E-2</v>
      </c>
      <c r="Q7">
        <f t="shared" si="0"/>
        <v>0.94864261214071111</v>
      </c>
      <c r="R7">
        <f t="shared" si="1"/>
        <v>8.7807032381469668E-2</v>
      </c>
      <c r="S7">
        <f t="shared" si="2"/>
        <v>0.79865602808549097</v>
      </c>
      <c r="T7" s="34">
        <f t="shared" si="3"/>
        <v>1.1267964854987869</v>
      </c>
    </row>
    <row r="8" spans="1:20">
      <c r="A8" s="20" t="s">
        <v>15</v>
      </c>
      <c r="B8" s="20" t="s">
        <v>122</v>
      </c>
      <c r="C8" s="18">
        <v>211</v>
      </c>
      <c r="D8" s="18">
        <v>304</v>
      </c>
      <c r="E8" s="19">
        <f>($C$8/881)*100</f>
        <v>23.95005675368899</v>
      </c>
      <c r="F8" s="19">
        <f>($D$8/1376)*100</f>
        <v>22.093023255813954</v>
      </c>
      <c r="G8" s="29">
        <f>($M$2 * ($C$8 + $D$8)) / $N$2</f>
        <v>192.98316241873624</v>
      </c>
      <c r="H8" s="29">
        <f>($L$2 * ($C$8 + $D$8)) / $N$2</f>
        <v>322.01683758126376</v>
      </c>
      <c r="I8" s="21">
        <f>CHITEST($C$8:$D$8,$G$8:$H$8)</f>
        <v>0.10097428867642338</v>
      </c>
      <c r="J8" s="18">
        <f>SUM($C$8,$D$8)</f>
        <v>515</v>
      </c>
      <c r="K8" s="19">
        <f>($J$8/2257*100)</f>
        <v>22.817899867080193</v>
      </c>
      <c r="O8" s="19">
        <f>(($C$8 - $G$8)^2 / $G$8) + (($D$8 - $H$8)^2 / $H$8)</f>
        <v>2.6900871902032333</v>
      </c>
      <c r="P8" s="19">
        <f>SQRT($O$8 / $J$8)</f>
        <v>7.227357935123517E-2</v>
      </c>
      <c r="Q8">
        <f t="shared" si="0"/>
        <v>1.1105263157894736</v>
      </c>
      <c r="R8">
        <f t="shared" si="1"/>
        <v>0.10224570069900191</v>
      </c>
      <c r="S8">
        <f t="shared" si="2"/>
        <v>0.90885700077905907</v>
      </c>
      <c r="T8" s="34">
        <f t="shared" si="3"/>
        <v>1.3569447085776987</v>
      </c>
    </row>
    <row r="9" spans="1:20">
      <c r="A9" s="20" t="s">
        <v>16</v>
      </c>
      <c r="B9" s="20" t="s">
        <v>338</v>
      </c>
      <c r="C9" s="18">
        <v>357</v>
      </c>
      <c r="D9" s="18">
        <v>594</v>
      </c>
      <c r="E9" s="19">
        <f>($C$9/881)*100</f>
        <v>40.52213393870602</v>
      </c>
      <c r="F9" s="19">
        <f>($D$9/1376)*100</f>
        <v>43.168604651162788</v>
      </c>
      <c r="G9" s="29">
        <f>($M$2 * ($C$9 + $D$9)) / $N$2</f>
        <v>356.36308244702553</v>
      </c>
      <c r="H9" s="29">
        <f>($L$2 * ($C$9 + $D$9)) / $N$2</f>
        <v>594.63691755297441</v>
      </c>
      <c r="I9" s="21">
        <f>CHITEST($C$9:$D$9,$G$9:$H$9)</f>
        <v>0.96596627460137441</v>
      </c>
      <c r="J9" s="18">
        <f>SUM($C$9,$D$9)</f>
        <v>951</v>
      </c>
      <c r="K9" s="19">
        <f>($J$9/2257*100)</f>
        <v>42.135578201151972</v>
      </c>
      <c r="O9" s="19">
        <f>(($C$9 - $G$9)^2 / $G$9) + (($D$9 - $H$9)^2 / $H$9)</f>
        <v>1.820549020620315E-3</v>
      </c>
      <c r="P9" s="19">
        <f>SQRT($O$9 / $J$9)</f>
        <v>1.3836012006575085E-3</v>
      </c>
      <c r="Q9">
        <f t="shared" si="0"/>
        <v>0.89692728814866218</v>
      </c>
      <c r="R9">
        <f t="shared" si="1"/>
        <v>8.7588763301935393E-2</v>
      </c>
      <c r="S9">
        <f t="shared" si="2"/>
        <v>0.75544034795332138</v>
      </c>
      <c r="T9" s="34">
        <f t="shared" si="3"/>
        <v>1.0649134142824761</v>
      </c>
    </row>
    <row r="10" spans="1:20">
      <c r="A10" s="20" t="s">
        <v>17</v>
      </c>
      <c r="B10" s="20" t="s">
        <v>339</v>
      </c>
      <c r="C10" s="18">
        <v>358</v>
      </c>
      <c r="D10" s="18">
        <v>565</v>
      </c>
      <c r="E10" s="19">
        <f>($C$10/881)*100</f>
        <v>40.635641316685586</v>
      </c>
      <c r="F10" s="19">
        <f>($D$10/1376)*100</f>
        <v>41.061046511627907</v>
      </c>
      <c r="G10" s="29">
        <f>($M$2 * ($C$10 + $D$10)) / $N$2</f>
        <v>345.8707940048418</v>
      </c>
      <c r="H10" s="29">
        <f>($L$2 * ($C$10 + $D$10)) / $N$2</f>
        <v>577.12920599515815</v>
      </c>
      <c r="I10" s="21">
        <f>CHITEST($C$10:$D$10,$G$10:$H$10)</f>
        <v>0.4094947461538177</v>
      </c>
      <c r="J10" s="18">
        <f>SUM($C$10,$D$10)</f>
        <v>923</v>
      </c>
      <c r="K10" s="19">
        <f>($J$10/2257*100)</f>
        <v>40.894993354009742</v>
      </c>
      <c r="M10" s="19"/>
      <c r="O10" s="19">
        <f>(($C$10 - $G$10)^2 / $G$10) + (($D$10 - $H$10)^2 / $H$10)</f>
        <v>0.68026715294974405</v>
      </c>
      <c r="P10" s="19">
        <f>SQRT($O$10 / $J$10)</f>
        <v>2.7148066238449901E-2</v>
      </c>
      <c r="Q10">
        <f t="shared" si="0"/>
        <v>0.98254792805292812</v>
      </c>
      <c r="R10">
        <f t="shared" si="1"/>
        <v>8.7796919681727051E-2</v>
      </c>
      <c r="S10">
        <f t="shared" si="2"/>
        <v>0.82721708843815267</v>
      </c>
      <c r="T10" s="34">
        <f t="shared" si="3"/>
        <v>1.1670460443991186</v>
      </c>
    </row>
    <row r="11" spans="1:20">
      <c r="A11" s="20" t="s">
        <v>18</v>
      </c>
      <c r="B11" s="20" t="s">
        <v>340</v>
      </c>
      <c r="C11" s="18">
        <v>292</v>
      </c>
      <c r="D11" s="18">
        <v>492</v>
      </c>
      <c r="E11" s="19">
        <f>($C$11/881)*100</f>
        <v>33.144154370034052</v>
      </c>
      <c r="F11" s="19">
        <f>($D$11/1376)*100</f>
        <v>35.755813953488378</v>
      </c>
      <c r="G11" s="29">
        <f>($M$2 * ($C$11 + $D$11)) / $N$2</f>
        <v>293.78407638114408</v>
      </c>
      <c r="H11" s="29">
        <f>($L$2 * ($C$11 + $D$11)) / $N$2</f>
        <v>490.21592361885592</v>
      </c>
      <c r="I11" s="21">
        <f>CHITEST($C$11:$D$11,$G$11:$H$11)</f>
        <v>0.89527485514014904</v>
      </c>
      <c r="J11" s="18">
        <f>SUM($C$11,$D$11)</f>
        <v>784</v>
      </c>
      <c r="K11" s="19">
        <f>($J$11/2257*100)</f>
        <v>34.736375719982277</v>
      </c>
      <c r="O11" s="19">
        <f>(($C$11 - $G$11)^2 / $G$11) + (($D$11 - $H$11)^2 / $H$11)</f>
        <v>1.7327155916855005E-2</v>
      </c>
      <c r="P11" s="19">
        <f>SQRT($O$11 / $J$11)</f>
        <v>4.7011662573942219E-3</v>
      </c>
      <c r="Q11">
        <f t="shared" si="0"/>
        <v>0.89074771902218175</v>
      </c>
      <c r="R11">
        <f t="shared" si="1"/>
        <v>9.1028525464146623E-2</v>
      </c>
      <c r="S11">
        <f t="shared" si="2"/>
        <v>0.74519455641362375</v>
      </c>
      <c r="T11" s="34">
        <f t="shared" si="3"/>
        <v>1.0647306694801213</v>
      </c>
    </row>
    <row r="12" spans="1:20">
      <c r="B12" s="20"/>
      <c r="I12" s="21"/>
      <c r="O12" s="19"/>
      <c r="P12" s="19"/>
      <c r="R12"/>
      <c r="S12"/>
      <c r="T12" s="34"/>
    </row>
    <row r="13" spans="1:20">
      <c r="A13" s="16" t="s">
        <v>2</v>
      </c>
      <c r="B13" s="20"/>
      <c r="I13" s="21"/>
      <c r="O13" s="19"/>
      <c r="P13" s="19"/>
      <c r="R13"/>
      <c r="S13"/>
      <c r="T13" s="34"/>
    </row>
    <row r="14" spans="1:20">
      <c r="A14" s="20" t="s">
        <v>3</v>
      </c>
      <c r="B14" s="20" t="s">
        <v>341</v>
      </c>
      <c r="C14" s="18">
        <v>688</v>
      </c>
      <c r="D14" s="18">
        <v>1129</v>
      </c>
      <c r="E14" s="19">
        <f>($C$14/881)*100</f>
        <v>78.093076049943249</v>
      </c>
      <c r="F14" s="19">
        <f>($D$14/1376)*100</f>
        <v>82.049418604651152</v>
      </c>
      <c r="G14" s="29">
        <f>($M$2 * ($C$14 + $D$14)) / $N$2</f>
        <v>680.87457498027914</v>
      </c>
      <c r="H14" s="29">
        <f>($L$2 * ($C$14 + $D$14)) / $N$2</f>
        <v>1136.125425019721</v>
      </c>
      <c r="I14" s="21">
        <f>CHITEST($C$14:$D$14,$G$14:$H$14)</f>
        <v>0.72984197321324706</v>
      </c>
      <c r="J14" s="18">
        <f>SUM($C$14,$D$14)</f>
        <v>1817</v>
      </c>
      <c r="K14" s="19">
        <f>($J$14/2257*100)</f>
        <v>80.50509525919361</v>
      </c>
      <c r="O14" s="19">
        <f>(($C$14 - $G$14)^2 / $G$14) + (($D$14 - $H$14)^2 / $H$14)</f>
        <v>0.11925678028621933</v>
      </c>
      <c r="P14" s="19">
        <f>SQRT($O$14 / $J$14)</f>
        <v>8.1014746303800754E-3</v>
      </c>
      <c r="Q14">
        <f t="shared" si="0"/>
        <v>0.77989141658673589</v>
      </c>
      <c r="R14">
        <f t="shared" si="1"/>
        <v>0.10756002096905382</v>
      </c>
      <c r="S14">
        <f t="shared" si="2"/>
        <v>0.63165102081892877</v>
      </c>
      <c r="T14" s="34">
        <f t="shared" si="3"/>
        <v>0.96292193255241032</v>
      </c>
    </row>
    <row r="15" spans="1:20">
      <c r="A15" s="20" t="s">
        <v>4</v>
      </c>
      <c r="B15" s="20" t="s">
        <v>342</v>
      </c>
      <c r="C15" s="18">
        <v>730</v>
      </c>
      <c r="D15" s="18">
        <v>1160</v>
      </c>
      <c r="E15" s="19">
        <f>($C$15/881)*100</f>
        <v>82.86038592508514</v>
      </c>
      <c r="F15" s="19">
        <f>($D$15/1376)*100</f>
        <v>84.302325581395351</v>
      </c>
      <c r="G15" s="29">
        <f>($M$2 * ($C$15 + $D$15)) / $N$2</f>
        <v>708.22946984740088</v>
      </c>
      <c r="H15" s="29">
        <f>($L$2 * ($C$15 + $D$15)) / $N$2</f>
        <v>1181.7705301525991</v>
      </c>
      <c r="I15" s="21">
        <f>CHITEST($C$15:$D$15,$G$15:$H$15)</f>
        <v>0.30088484989941783</v>
      </c>
      <c r="J15" s="18">
        <f>SUM($C$15,$D$15)</f>
        <v>1890</v>
      </c>
      <c r="K15" s="19">
        <f>($J$15/2257*100)</f>
        <v>83.739477182100131</v>
      </c>
      <c r="O15" s="19">
        <f>(($C$15 - $G$15)^2 / $G$15) + (($D$15 - $H$15)^2 / $H$15)</f>
        <v>1.0702683051358417</v>
      </c>
      <c r="P15" s="19">
        <f>SQRT($O$15 / $J$15)</f>
        <v>2.3796628469741263E-2</v>
      </c>
      <c r="Q15">
        <f t="shared" si="0"/>
        <v>0.90020552637588502</v>
      </c>
      <c r="R15">
        <f t="shared" si="1"/>
        <v>0.11612096350417048</v>
      </c>
      <c r="S15">
        <f t="shared" si="2"/>
        <v>0.71696427337208379</v>
      </c>
      <c r="T15" s="34">
        <f t="shared" si="3"/>
        <v>1.1302794571705606</v>
      </c>
    </row>
    <row r="16" spans="1:20">
      <c r="A16" s="20" t="s">
        <v>5</v>
      </c>
      <c r="B16" s="20" t="s">
        <v>343</v>
      </c>
      <c r="C16" s="18">
        <v>637</v>
      </c>
      <c r="D16" s="18">
        <v>1068</v>
      </c>
      <c r="E16" s="19">
        <f>($C$16/881)*100</f>
        <v>72.304199772985243</v>
      </c>
      <c r="F16" s="19">
        <f>($D$16/1376)*100</f>
        <v>77.616279069767444</v>
      </c>
      <c r="G16" s="29">
        <f>($M$2 * ($C$16 + $D$16)) / $N$2</f>
        <v>638.90542121154419</v>
      </c>
      <c r="H16" s="29">
        <f>($L$2 * ($C$16 + $D$16)) / $N$2</f>
        <v>1066.0945787884557</v>
      </c>
      <c r="I16" s="21">
        <f>CHITEST($C$16:$D$16,$G$16:$H$16)</f>
        <v>0.92405141743263175</v>
      </c>
      <c r="J16" s="18">
        <f>SUM($C$16,$D$16)</f>
        <v>1705</v>
      </c>
      <c r="K16" s="19">
        <f>($J$16/2257*100)</f>
        <v>75.542755870624717</v>
      </c>
      <c r="O16" s="19">
        <f>(($C$16 - $G$16)^2 / $G$16) + (($D$16 - $H$16)^2 / $H$16)</f>
        <v>9.0881202821604945E-3</v>
      </c>
      <c r="P16" s="19">
        <f>SQRT($O$16 / $J$16)</f>
        <v>2.3087390119530776E-3</v>
      </c>
      <c r="Q16">
        <f t="shared" si="0"/>
        <v>0.75288573709093132</v>
      </c>
      <c r="R16">
        <f t="shared" si="1"/>
        <v>9.9253726394638656E-2</v>
      </c>
      <c r="S16">
        <f t="shared" si="2"/>
        <v>0.61978718491674345</v>
      </c>
      <c r="T16" s="34">
        <f t="shared" si="3"/>
        <v>0.9145670431877333</v>
      </c>
    </row>
    <row r="17" spans="1:20" ht="25.5">
      <c r="A17" s="32" t="s">
        <v>503</v>
      </c>
      <c r="B17" s="20" t="s">
        <v>344</v>
      </c>
      <c r="C17" s="18">
        <v>559</v>
      </c>
      <c r="D17" s="18">
        <v>886</v>
      </c>
      <c r="E17" s="19">
        <f>($C$17/881)*100</f>
        <v>63.450624290578887</v>
      </c>
      <c r="F17" s="19">
        <f>($D$17/1376)*100</f>
        <v>64.389534883720927</v>
      </c>
      <c r="G17" s="29">
        <f>($M$2 * ($C$17 + $D$17)) / $N$2</f>
        <v>541.47702853412397</v>
      </c>
      <c r="H17" s="29">
        <f>($L$2 * ($C$17 + $D$17)) / $N$2</f>
        <v>903.52297146587603</v>
      </c>
      <c r="I17" s="21">
        <f>CHITEST($C$17:$D$17,$G$17:$H$17)</f>
        <v>0.34093565798652981</v>
      </c>
      <c r="J17" s="18">
        <f>SUM($C$17,$D$17)</f>
        <v>1445</v>
      </c>
      <c r="K17" s="19">
        <f>($J$17/2257*100)</f>
        <v>64.023039432875493</v>
      </c>
      <c r="O17" s="19">
        <f>(($C$17 - $G$17)^2 / $G$17) + (($D$17 - $H$17)^2 / $H$17)</f>
        <v>0.90690985030182869</v>
      </c>
      <c r="P17" s="19">
        <f>SQRT($O$17 / $J$17)</f>
        <v>2.5052330701259701E-2</v>
      </c>
      <c r="Q17">
        <f t="shared" si="0"/>
        <v>0.96010403376190012</v>
      </c>
      <c r="R17">
        <f t="shared" si="1"/>
        <v>8.979968444183381E-2</v>
      </c>
      <c r="S17">
        <f t="shared" si="2"/>
        <v>0.80515456531200935</v>
      </c>
      <c r="T17" s="34">
        <f t="shared" si="3"/>
        <v>1.1448730409777417</v>
      </c>
    </row>
    <row r="18" spans="1:20">
      <c r="A18" s="32" t="s">
        <v>8</v>
      </c>
      <c r="B18" s="20" t="s">
        <v>388</v>
      </c>
      <c r="C18" s="18">
        <v>446</v>
      </c>
      <c r="D18" s="18">
        <v>785</v>
      </c>
      <c r="E18" s="19">
        <f>($C$18/881)*100</f>
        <v>50.624290578887631</v>
      </c>
      <c r="F18" s="19">
        <f>($D$18/1376)*100</f>
        <v>57.049418604651159</v>
      </c>
      <c r="G18" s="29">
        <f>($M$2 * ($C$18 + $D$18)) / $N$2</f>
        <v>461.28596686886272</v>
      </c>
      <c r="H18" s="29">
        <f>($L$2 * ($C$18 + $D$18)) / $N$2</f>
        <v>769.71403313113728</v>
      </c>
      <c r="I18" s="21">
        <f>CHITEST($C$18:$D$18,$G$18:$H$18)</f>
        <v>0.36808759861770318</v>
      </c>
      <c r="J18" s="18">
        <f>SUM($C$18,$D$18)</f>
        <v>1231</v>
      </c>
      <c r="K18" s="19">
        <f>($J$18/2257*100)</f>
        <v>54.541426672574211</v>
      </c>
      <c r="O18" s="19">
        <f>(($C$18 - $G$18)^2 / $G$18) + (($D$18 - $H$18)^2 / $H$18)</f>
        <v>0.81011044836735246</v>
      </c>
      <c r="P18" s="19">
        <f>SQRT($O$18 / $J$18)</f>
        <v>2.5653291156708904E-2</v>
      </c>
      <c r="Q18">
        <f t="shared" si="0"/>
        <v>0.77190423896332083</v>
      </c>
      <c r="R18">
        <f t="shared" si="1"/>
        <v>8.6642574804338499E-2</v>
      </c>
      <c r="S18">
        <f t="shared" si="2"/>
        <v>0.6513460403102197</v>
      </c>
      <c r="T18" s="34">
        <f t="shared" si="3"/>
        <v>0.91477665826564603</v>
      </c>
    </row>
    <row r="19" spans="1:20">
      <c r="A19" s="20" t="s">
        <v>6</v>
      </c>
      <c r="B19" s="20" t="s">
        <v>345</v>
      </c>
      <c r="C19" s="18">
        <v>434</v>
      </c>
      <c r="D19" s="18">
        <v>713</v>
      </c>
      <c r="E19" s="19">
        <f>($C$19/881)*100</f>
        <v>49.262202043132802</v>
      </c>
      <c r="F19" s="19">
        <f>($D$19/1376)*100</f>
        <v>51.816860465116278</v>
      </c>
      <c r="G19" s="29">
        <f>($M$2 * ($C$19 + $D$19)) / $N$2</f>
        <v>429.80910154231157</v>
      </c>
      <c r="H19" s="29">
        <f>($L$2 * ($C$19 + $D$19)) / $N$2</f>
        <v>717.19089845768849</v>
      </c>
      <c r="I19" s="21">
        <f>CHITEST($C$19:$D$19,$G$19:$H$19)</f>
        <v>0.79822662433400104</v>
      </c>
      <c r="J19" s="18">
        <f>SUM($C$19,$D$19)</f>
        <v>1147</v>
      </c>
      <c r="K19" s="19">
        <f>($J$19/2257*100)</f>
        <v>50.819672131147541</v>
      </c>
      <c r="O19" s="19">
        <f>(($C$19 - $G$19)^2 / $G$19) + (($D$19 - $H$19)^2 / $H$19)</f>
        <v>6.5353269185605523E-2</v>
      </c>
      <c r="P19" s="19">
        <f>SQRT($O$19 / $J$19)</f>
        <v>7.5483486179128102E-3</v>
      </c>
      <c r="Q19">
        <f t="shared" si="0"/>
        <v>0.90283046396264954</v>
      </c>
      <c r="R19">
        <f t="shared" si="1"/>
        <v>8.6325570376826241E-2</v>
      </c>
      <c r="S19">
        <f t="shared" si="2"/>
        <v>0.76229732532857652</v>
      </c>
      <c r="T19" s="34">
        <f t="shared" si="3"/>
        <v>1.0692715553051109</v>
      </c>
    </row>
    <row r="20" spans="1:20">
      <c r="A20" s="20" t="s">
        <v>7</v>
      </c>
      <c r="B20" s="20" t="s">
        <v>346</v>
      </c>
      <c r="C20" s="18">
        <v>184</v>
      </c>
      <c r="D20" s="18">
        <v>308</v>
      </c>
      <c r="E20" s="19">
        <f>($C$20/881)*100</f>
        <v>20.885357548240634</v>
      </c>
      <c r="F20" s="19">
        <f>($D$20/1376)*100</f>
        <v>22.38372093023256</v>
      </c>
      <c r="G20" s="29">
        <f>($M$2 * ($C$20 + $D$20)) / $N$2</f>
        <v>184.36449691265673</v>
      </c>
      <c r="H20" s="29">
        <f>($L$2 * ($C$20 + $D$20)) / $N$2</f>
        <v>307.63550308734324</v>
      </c>
      <c r="I20" s="21">
        <f>CHITEST($C$20:$D$20,$G$20:$H$20)</f>
        <v>0.97291828399322289</v>
      </c>
      <c r="J20" s="18">
        <f>SUM($C$20,$D$20)</f>
        <v>492</v>
      </c>
      <c r="K20" s="19">
        <f>($J$20/2257*100)</f>
        <v>21.798848028356225</v>
      </c>
      <c r="O20" s="19">
        <f>(($C$20 - $G$20)^2 / $G$20) + (($D$20 - $H$20)^2 / $H$20)</f>
        <v>1.1524950374462055E-3</v>
      </c>
      <c r="P20" s="19">
        <f>SQRT($O$20 / $J$20)</f>
        <v>1.5305128514015477E-3</v>
      </c>
      <c r="Q20">
        <f t="shared" si="0"/>
        <v>0.91538877191674894</v>
      </c>
      <c r="R20">
        <f t="shared" si="1"/>
        <v>0.1051312782811049</v>
      </c>
      <c r="S20">
        <f t="shared" si="2"/>
        <v>0.74493097043038514</v>
      </c>
      <c r="T20" s="34">
        <f t="shared" si="3"/>
        <v>1.1248513446381945</v>
      </c>
    </row>
    <row r="21" spans="1:20">
      <c r="A21" s="17"/>
      <c r="B21" s="20"/>
      <c r="I21" s="21"/>
      <c r="O21" s="19"/>
      <c r="P21" s="19"/>
      <c r="R21"/>
      <c r="S21"/>
      <c r="T21" s="34"/>
    </row>
    <row r="22" spans="1:20">
      <c r="A22" s="17" t="s">
        <v>9</v>
      </c>
      <c r="B22" s="20"/>
      <c r="I22" s="21"/>
      <c r="O22" s="19"/>
      <c r="P22" s="19"/>
      <c r="R22"/>
      <c r="S22"/>
      <c r="T22" s="34"/>
    </row>
    <row r="23" spans="1:20">
      <c r="A23" s="20" t="s">
        <v>19</v>
      </c>
      <c r="B23" s="20" t="s">
        <v>347</v>
      </c>
      <c r="C23" s="18">
        <v>537</v>
      </c>
      <c r="D23" s="18">
        <v>878</v>
      </c>
      <c r="E23" s="19">
        <f>($C$23/881)*100</f>
        <v>60.953461975028375</v>
      </c>
      <c r="F23" s="19">
        <f>($D$23/1376)*100</f>
        <v>63.808139534883722</v>
      </c>
      <c r="G23" s="29">
        <f>($M$2 * ($C$23 + $D$23)) / $N$2</f>
        <v>530.23529091749856</v>
      </c>
      <c r="H23" s="29">
        <f>($L$2 * ($C$23 + $D$23)) / $N$2</f>
        <v>884.76470908250144</v>
      </c>
      <c r="I23" s="21">
        <f>CHITEST($C$23:$D$23,$G$23:$H$23)</f>
        <v>0.71025221442580633</v>
      </c>
      <c r="J23" s="18">
        <f>SUM($C$23,$D$23)</f>
        <v>1415</v>
      </c>
      <c r="K23" s="19">
        <f>($J$23/2257*100)</f>
        <v>62.693841382365974</v>
      </c>
      <c r="O23" s="19">
        <f>(($C$23 - $G$23)^2 / $G$23) + (($D$23 - $H$23)^2 / $H$23)</f>
        <v>0.138025162629306</v>
      </c>
      <c r="P23" s="19">
        <f>SQRT($O$23 / $J$23)</f>
        <v>9.8764510095316702E-3</v>
      </c>
      <c r="Q23">
        <f t="shared" si="0"/>
        <v>0.88542273666366489</v>
      </c>
      <c r="R23">
        <f t="shared" si="1"/>
        <v>8.8972796008852412E-2</v>
      </c>
      <c r="S23">
        <f t="shared" si="2"/>
        <v>0.74373033734694205</v>
      </c>
      <c r="T23" s="34">
        <f t="shared" si="3"/>
        <v>1.0541097804314234</v>
      </c>
    </row>
    <row r="24" spans="1:20">
      <c r="A24" s="20" t="s">
        <v>20</v>
      </c>
      <c r="B24" s="20" t="s">
        <v>348</v>
      </c>
      <c r="C24" s="18">
        <v>531</v>
      </c>
      <c r="D24" s="18">
        <v>821</v>
      </c>
      <c r="E24" s="19">
        <f>($C$24/881)*100</f>
        <v>60.272417707150957</v>
      </c>
      <c r="F24" s="19">
        <f>($D$24/1376)*100</f>
        <v>59.665697674418603</v>
      </c>
      <c r="G24" s="29">
        <f>($M$2 * ($C$24 + $D$24)) / $N$2</f>
        <v>506.62764192258521</v>
      </c>
      <c r="H24" s="29">
        <f>($L$2 * ($C$24 + $D$24)) / $N$2</f>
        <v>845.37235807741479</v>
      </c>
      <c r="I24" s="21">
        <f>CHITEST($C$24:$D$24,$G$24:$H$24)</f>
        <v>0.17088697227884952</v>
      </c>
      <c r="J24" s="18">
        <f>SUM($C$24,$D$24)</f>
        <v>1352</v>
      </c>
      <c r="K24" s="19">
        <f>($J$24/2257*100)</f>
        <v>59.902525476295963</v>
      </c>
      <c r="O24" s="19">
        <f>(($C$24 - $G$24)^2 / $G$24) + (($D$24 - $H$24)^2 / $H$24)</f>
        <v>1.8751450474322966</v>
      </c>
      <c r="P24" s="19">
        <f>SQRT($O$24 / $J$24)</f>
        <v>3.724166488129118E-2</v>
      </c>
      <c r="Q24">
        <f t="shared" si="0"/>
        <v>1.0255959631111884</v>
      </c>
      <c r="R24">
        <f t="shared" si="1"/>
        <v>8.8092057683476485E-2</v>
      </c>
      <c r="S24">
        <f t="shared" si="2"/>
        <v>0.86296032525644684</v>
      </c>
      <c r="T24" s="34">
        <f t="shared" si="3"/>
        <v>1.2188823156352959</v>
      </c>
    </row>
    <row r="25" spans="1:20">
      <c r="A25" s="20" t="s">
        <v>21</v>
      </c>
      <c r="B25" s="20" t="s">
        <v>349</v>
      </c>
      <c r="C25" s="18">
        <v>479</v>
      </c>
      <c r="D25" s="18">
        <v>784</v>
      </c>
      <c r="E25" s="19">
        <f>($C$25/881)*100</f>
        <v>54.370034052213391</v>
      </c>
      <c r="F25" s="19">
        <f>($D$25/1376)*100</f>
        <v>56.97674418604651</v>
      </c>
      <c r="G25" s="29">
        <f>($M$2 * ($C$25 + $D$25)) / $N$2</f>
        <v>473.27715365992981</v>
      </c>
      <c r="H25" s="29">
        <f>($L$2 * ($C$25 + $D$25)) / $N$2</f>
        <v>789.72284634007019</v>
      </c>
      <c r="I25" s="21">
        <f>CHITEST($C$25:$D$25,$G$25:$H$25)</f>
        <v>0.7393805054748388</v>
      </c>
      <c r="J25" s="18">
        <f>SUM($C$25,$D$25)</f>
        <v>1263</v>
      </c>
      <c r="K25" s="19">
        <f>($J$25/2257*100)</f>
        <v>55.959237926451046</v>
      </c>
      <c r="O25" s="19">
        <f>(($C$25 - $G$25)^2 / $G$25) + (($D$25 - $H$25)^2 / $H$25)</f>
        <v>0.11067187766343764</v>
      </c>
      <c r="P25" s="19">
        <f>SQRT($O$25 / $J$25)</f>
        <v>9.3608861630336288E-3</v>
      </c>
      <c r="Q25">
        <f t="shared" si="0"/>
        <v>0.89973601380850854</v>
      </c>
      <c r="R25">
        <f t="shared" si="1"/>
        <v>8.683285239216415E-2</v>
      </c>
      <c r="S25">
        <f t="shared" si="2"/>
        <v>0.75892959404121052</v>
      </c>
      <c r="T25" s="34">
        <f t="shared" si="3"/>
        <v>1.0666666590683336</v>
      </c>
    </row>
    <row r="26" spans="1:20">
      <c r="A26" s="20" t="s">
        <v>22</v>
      </c>
      <c r="B26" s="20" t="s">
        <v>350</v>
      </c>
      <c r="C26" s="18">
        <v>410</v>
      </c>
      <c r="D26" s="18">
        <v>665</v>
      </c>
      <c r="E26" s="19">
        <f>($C$26/881)*100</f>
        <v>46.538024971623152</v>
      </c>
      <c r="F26" s="19">
        <f>($D$26/1376)*100</f>
        <v>48.328488372093027</v>
      </c>
      <c r="G26" s="29">
        <f>($M$2 * ($C$26 + $D$26)) / $N$2</f>
        <v>402.82893126241055</v>
      </c>
      <c r="H26" s="29">
        <f>($L$2 * ($C$26 + $D$26)) / $N$2</f>
        <v>672.17106873758939</v>
      </c>
      <c r="I26" s="21">
        <f>CHITEST($C$26:$D$26,$G$26:$H$26)</f>
        <v>0.65138184698092738</v>
      </c>
      <c r="J26" s="18">
        <f>SUM($C$26,$D$26)</f>
        <v>1075</v>
      </c>
      <c r="K26" s="19">
        <f>($J$26/2257*100)</f>
        <v>47.629596809924678</v>
      </c>
      <c r="O26" s="19">
        <f>(($C$26 - $G$26)^2 / $G$26) + (($D$26 - $H$26)^2 / $H$26)</f>
        <v>0.20416240129176999</v>
      </c>
      <c r="P26" s="19">
        <f>SQRT($O$26 / $J$26)</f>
        <v>1.3781092584753702E-2</v>
      </c>
      <c r="Q26">
        <f t="shared" si="0"/>
        <v>0.93070255255974332</v>
      </c>
      <c r="R26">
        <f t="shared" si="1"/>
        <v>8.644302054053335E-2</v>
      </c>
      <c r="S26">
        <f t="shared" si="2"/>
        <v>0.78565001014735603</v>
      </c>
      <c r="T26" s="34">
        <f t="shared" si="3"/>
        <v>1.1025357731221266</v>
      </c>
    </row>
    <row r="27" spans="1:20">
      <c r="A27" s="20" t="s">
        <v>23</v>
      </c>
      <c r="B27" s="20" t="s">
        <v>351</v>
      </c>
      <c r="C27" s="18">
        <v>335</v>
      </c>
      <c r="D27" s="18">
        <v>586</v>
      </c>
      <c r="E27" s="19">
        <f>($C$27/881)*100</f>
        <v>38.024971623155508</v>
      </c>
      <c r="F27" s="19">
        <f>($D$27/1376)*100</f>
        <v>42.587209302325576</v>
      </c>
      <c r="G27" s="29">
        <f>($M$2 * ($C$27 + $D$27)) / $N$2</f>
        <v>345.12134483040012</v>
      </c>
      <c r="H27" s="29">
        <f>($L$2 * ($C$27 + $D$27)) / $N$2</f>
        <v>575.87865516959982</v>
      </c>
      <c r="I27" s="21">
        <f>CHITEST($C$27:$D$27,$G$27:$H$27)</f>
        <v>0.49082584972007648</v>
      </c>
      <c r="J27" s="18">
        <f>SUM($C$27,$D$27)</f>
        <v>921</v>
      </c>
      <c r="K27" s="19">
        <f>($J$27/2257*100)</f>
        <v>40.806380150642447</v>
      </c>
      <c r="O27" s="19">
        <f>(($C$27 - $G$27)^2 / $G$27) + (($D$27 - $H$27)^2 / $H$27)</f>
        <v>0.47471534576530627</v>
      </c>
      <c r="P27" s="19">
        <f>SQRT($O$27 / $J$27)</f>
        <v>2.2703186691647843E-2</v>
      </c>
      <c r="Q27">
        <f t="shared" si="0"/>
        <v>0.82714498243508494</v>
      </c>
      <c r="R27">
        <f t="shared" si="1"/>
        <v>8.8254653615635795E-2</v>
      </c>
      <c r="S27">
        <f t="shared" si="2"/>
        <v>0.69575728416054705</v>
      </c>
      <c r="T27" s="34">
        <f t="shared" si="3"/>
        <v>0.98334410223675639</v>
      </c>
    </row>
    <row r="28" spans="1:20">
      <c r="A28" s="20" t="s">
        <v>24</v>
      </c>
      <c r="B28" s="20" t="s">
        <v>352</v>
      </c>
      <c r="C28" s="18">
        <v>279</v>
      </c>
      <c r="D28" s="18">
        <v>440</v>
      </c>
      <c r="E28" s="19">
        <f>($C$28/881)*100</f>
        <v>31.66855845629966</v>
      </c>
      <c r="F28" s="19">
        <f>($D$28/1376)*100</f>
        <v>31.976744186046513</v>
      </c>
      <c r="G28" s="29">
        <f>($M$2 * ($C$28 + $D$28)) / $N$2</f>
        <v>269.42697821178905</v>
      </c>
      <c r="H28" s="29">
        <f>($L$2 * ($C$28 + $D$28)) / $N$2</f>
        <v>449.57302178821095</v>
      </c>
      <c r="I28" s="21">
        <f>CHITEST($C$28:$D$28,$G$28:$H$28)</f>
        <v>0.46078654053813284</v>
      </c>
      <c r="J28" s="18">
        <f>SUM($C$28,$D$28)</f>
        <v>719</v>
      </c>
      <c r="K28" s="19">
        <f>($J$28/2257*100)</f>
        <v>31.856446610544971</v>
      </c>
      <c r="O28" s="19">
        <f>(($C$28 - $G$28)^2 / $G$28) + (($D$28 - $H$28)^2 / $H$28)</f>
        <v>0.5439834197426302</v>
      </c>
      <c r="P28" s="19">
        <f>SQRT($O$28 / $J$28)</f>
        <v>2.7506060016139113E-2</v>
      </c>
      <c r="Q28">
        <f t="shared" si="0"/>
        <v>0.98589549984898817</v>
      </c>
      <c r="R28">
        <f t="shared" si="1"/>
        <v>9.2663165820571103E-2</v>
      </c>
      <c r="S28">
        <f t="shared" si="2"/>
        <v>0.82215633049009662</v>
      </c>
      <c r="T28" s="34">
        <f t="shared" si="3"/>
        <v>1.1822446663435311</v>
      </c>
    </row>
    <row r="29" spans="1:20">
      <c r="A29" s="17"/>
      <c r="B29" s="20"/>
      <c r="I29" s="21"/>
      <c r="O29" s="19"/>
      <c r="P29" s="19"/>
      <c r="R29"/>
      <c r="S29"/>
      <c r="T29" s="34"/>
    </row>
    <row r="30" spans="1:20">
      <c r="A30" s="16" t="s">
        <v>25</v>
      </c>
      <c r="B30" s="20"/>
      <c r="I30" s="21"/>
      <c r="O30" s="19"/>
      <c r="P30" s="19"/>
      <c r="R30"/>
      <c r="S30"/>
      <c r="T30" s="34"/>
    </row>
    <row r="31" spans="1:20">
      <c r="A31" s="20" t="s">
        <v>26</v>
      </c>
      <c r="B31" s="20" t="s">
        <v>353</v>
      </c>
      <c r="C31" s="18">
        <v>653</v>
      </c>
      <c r="D31" s="18">
        <v>1089</v>
      </c>
      <c r="E31" s="19">
        <f>($C$31/881)*100</f>
        <v>74.120317820658343</v>
      </c>
      <c r="F31" s="19">
        <f>($D$31/1376)*100</f>
        <v>79.142441860465112</v>
      </c>
      <c r="G31" s="29">
        <f>($M$2 * ($C$31 + $D$31)) / $N$2</f>
        <v>652.7702309387156</v>
      </c>
      <c r="H31" s="29">
        <f>($L$2 * ($C$31 + $D$31)) / $N$2</f>
        <v>1089.2297690612845</v>
      </c>
      <c r="I31" s="21">
        <f>CHITEST($C$31:$D$31,$G$31:$H$31)</f>
        <v>0.9909258406181517</v>
      </c>
      <c r="J31" s="18">
        <f>SUM($C$31,$D$31)</f>
        <v>1742</v>
      </c>
      <c r="K31" s="19">
        <f>($J$31/2257*100)</f>
        <v>77.1821001329198</v>
      </c>
      <c r="O31" s="19">
        <f>(($C$31 - $G$31)^2 / $G$31) + (($D$31 - $H$31)^2 / $H$31)</f>
        <v>1.2934552495324375E-4</v>
      </c>
      <c r="P31" s="19">
        <f>SQRT($O$31 / $J$31)</f>
        <v>2.7249066484946868E-4</v>
      </c>
      <c r="Q31">
        <f t="shared" si="0"/>
        <v>0.7548007990591723</v>
      </c>
      <c r="R31">
        <f t="shared" si="1"/>
        <v>0.101587167907494</v>
      </c>
      <c r="S31">
        <f t="shared" si="2"/>
        <v>0.6185283472465154</v>
      </c>
      <c r="T31" s="34">
        <f t="shared" si="3"/>
        <v>0.92109641990797975</v>
      </c>
    </row>
    <row r="32" spans="1:20">
      <c r="A32" s="20" t="s">
        <v>27</v>
      </c>
      <c r="B32" s="20" t="s">
        <v>389</v>
      </c>
      <c r="C32" s="18">
        <v>655</v>
      </c>
      <c r="D32" s="18">
        <v>1133</v>
      </c>
      <c r="E32" s="19">
        <f>($C$32/881)*100</f>
        <v>74.347332576617475</v>
      </c>
      <c r="F32" s="19">
        <f>($D$32/1376)*100</f>
        <v>82.340116279069761</v>
      </c>
      <c r="G32" s="29">
        <f>($M$2 * ($C$32 + $D$32)) / $N$2</f>
        <v>670.00756195087456</v>
      </c>
      <c r="H32" s="29">
        <f>($L$2 * ($C$32 + $D$32)) / $N$2</f>
        <v>1117.9924380491254</v>
      </c>
      <c r="I32" s="21">
        <f>CHITEST($C$32:$D$32,$G$32:$H$32)</f>
        <v>0.46342393550474748</v>
      </c>
      <c r="J32" s="18">
        <f>SUM($C$32,$D$32)</f>
        <v>1788</v>
      </c>
      <c r="K32" s="19">
        <f>($J$32/2257*100)</f>
        <v>79.220203810367735</v>
      </c>
      <c r="O32" s="19">
        <f>(($C$32 - $G$32)^2 / $G$32) + (($D$32 - $H$32)^2 / $H$32)</f>
        <v>0.53761234616808617</v>
      </c>
      <c r="P32" s="19">
        <f>SQRT($O$32 / $J$32)</f>
        <v>1.7340070529132962E-2</v>
      </c>
      <c r="Q32">
        <f t="shared" si="0"/>
        <v>0.62159745057760352</v>
      </c>
      <c r="R32">
        <f t="shared" si="1"/>
        <v>0.10463907104356568</v>
      </c>
      <c r="S32">
        <f t="shared" si="2"/>
        <v>0.50633581664345539</v>
      </c>
      <c r="T32" s="34">
        <f t="shared" si="3"/>
        <v>0.76309709458427344</v>
      </c>
    </row>
    <row r="33" spans="1:20">
      <c r="A33" s="20" t="s">
        <v>28</v>
      </c>
      <c r="B33" s="20" t="s">
        <v>354</v>
      </c>
      <c r="C33" s="18">
        <v>577</v>
      </c>
      <c r="D33" s="18">
        <v>996</v>
      </c>
      <c r="E33" s="19">
        <f>($C$33/881)*100</f>
        <v>65.493757094211119</v>
      </c>
      <c r="F33" s="19">
        <f>($D$33/1376)*100</f>
        <v>72.383720930232556</v>
      </c>
      <c r="G33" s="29">
        <f>($M$2 * ($C$33 + $D$33)) / $N$2</f>
        <v>589.44177569839246</v>
      </c>
      <c r="H33" s="29">
        <f>($L$2 * ($C$33 + $D$33)) / $N$2</f>
        <v>983.55822430160754</v>
      </c>
      <c r="I33" s="21">
        <f>CHITEST($C$33:$D$33,$G$33:$H$33)</f>
        <v>0.51693550941511002</v>
      </c>
      <c r="J33" s="18">
        <f>SUM($C$33,$D$33)</f>
        <v>1573</v>
      </c>
      <c r="K33" s="19">
        <f>($J$33/2257*100)</f>
        <v>69.694284448382803</v>
      </c>
      <c r="O33" s="19">
        <f>(($C$33 - $G$33)^2 / $G$33) + (($D$33 - $H$33)^2 / $H$33)</f>
        <v>0.4200030759786218</v>
      </c>
      <c r="P33" s="19">
        <f>SQRT($O$33 / $J$33)</f>
        <v>1.6340369550185571E-2</v>
      </c>
      <c r="Q33">
        <f t="shared" si="0"/>
        <v>0.72414658634538143</v>
      </c>
      <c r="R33">
        <f t="shared" si="1"/>
        <v>9.3049293113214485E-2</v>
      </c>
      <c r="S33">
        <f t="shared" si="2"/>
        <v>0.60342226465972637</v>
      </c>
      <c r="T33" s="34">
        <f t="shared" si="3"/>
        <v>0.86902374875308053</v>
      </c>
    </row>
    <row r="34" spans="1:20">
      <c r="A34" s="20" t="s">
        <v>29</v>
      </c>
      <c r="B34" s="20" t="s">
        <v>355</v>
      </c>
      <c r="C34" s="18">
        <v>426</v>
      </c>
      <c r="D34" s="18">
        <v>598</v>
      </c>
      <c r="E34" s="19">
        <f>($C$34/881)*100</f>
        <v>48.354143019296252</v>
      </c>
      <c r="F34" s="19">
        <f>($D$34/1376)*100</f>
        <v>43.459302325581397</v>
      </c>
      <c r="G34" s="29">
        <f>($M$2 * ($C$34 + $D$34)) / $N$2</f>
        <v>383.71797731414739</v>
      </c>
      <c r="H34" s="29">
        <f>($L$2 * ($C$34 + $D$34)) / $N$2</f>
        <v>640.28202268585267</v>
      </c>
      <c r="I34" s="21">
        <f>CHITEST($C$34:$D$34,$G$34:$H$34)</f>
        <v>6.3393088406618024E-3</v>
      </c>
      <c r="J34" s="18">
        <f>SUM($C$34,$D$34)</f>
        <v>1024</v>
      </c>
      <c r="K34" s="19">
        <f>($J$34/2257*100)</f>
        <v>45.369960124058487</v>
      </c>
      <c r="O34" s="19">
        <f>(($C$34 - $G$34)^2 / $G$34) + (($D$34 - $H$34)^2 / $H$34)</f>
        <v>7.4512307299568672</v>
      </c>
      <c r="P34" s="19">
        <f>SQRT($O$34 / $J$34)</f>
        <v>8.5302945492658711E-2</v>
      </c>
      <c r="Q34">
        <f t="shared" si="0"/>
        <v>1.2180822521959644</v>
      </c>
      <c r="R34">
        <f t="shared" si="1"/>
        <v>8.661875019044761E-2</v>
      </c>
      <c r="S34">
        <f t="shared" si="2"/>
        <v>1.0278867002279044</v>
      </c>
      <c r="T34" s="34">
        <f t="shared" si="3"/>
        <v>1.4434707373738953</v>
      </c>
    </row>
    <row r="35" spans="1:20">
      <c r="A35" s="20" t="s">
        <v>30</v>
      </c>
      <c r="B35" s="20" t="s">
        <v>356</v>
      </c>
      <c r="C35" s="18">
        <v>279</v>
      </c>
      <c r="D35" s="18">
        <v>469</v>
      </c>
      <c r="E35" s="19">
        <f>($C$35/881)*100</f>
        <v>31.66855845629966</v>
      </c>
      <c r="F35" s="19">
        <f>($D$35/1376)*100</f>
        <v>34.084302325581397</v>
      </c>
      <c r="G35" s="29">
        <f>($M$2 * ($C$35 + $D$35)) / $N$2</f>
        <v>280.29399124119357</v>
      </c>
      <c r="H35" s="29">
        <f>($L$2 * ($C$35 + $D$35)) / $N$2</f>
        <v>467.70600875880643</v>
      </c>
      <c r="I35" s="21">
        <f>CHITEST($C$35:$D$35,$G$35:$H$35)</f>
        <v>0.92213581548832713</v>
      </c>
      <c r="J35" s="18">
        <f>SUM($C$35,$D$35)</f>
        <v>748</v>
      </c>
      <c r="K35" s="19">
        <f>($J$35/2257*100)</f>
        <v>33.141338059370845</v>
      </c>
      <c r="O35" s="19">
        <f>(($C$35 - $G$35)^2 / $G$35) + (($D$35 - $H$35)^2 / $H$35)</f>
        <v>9.5538305456755249E-3</v>
      </c>
      <c r="P35" s="19">
        <f>SQRT($O$35 / $J$35)</f>
        <v>3.573863557763885E-3</v>
      </c>
      <c r="Q35">
        <f t="shared" si="0"/>
        <v>0.89627680298082435</v>
      </c>
      <c r="R35">
        <f t="shared" si="1"/>
        <v>9.2087409309029741E-2</v>
      </c>
      <c r="S35">
        <f t="shared" si="2"/>
        <v>0.74826558485175187</v>
      </c>
      <c r="T35" s="34">
        <f t="shared" si="3"/>
        <v>1.0735654877414702</v>
      </c>
    </row>
    <row r="36" spans="1:20">
      <c r="B36" s="20"/>
      <c r="I36" s="21"/>
      <c r="O36" s="19"/>
      <c r="P36" s="19"/>
      <c r="R36"/>
      <c r="S36"/>
      <c r="T36" s="34"/>
    </row>
    <row r="37" spans="1:20">
      <c r="A37" s="16" t="s">
        <v>31</v>
      </c>
      <c r="B37" s="20"/>
      <c r="I37" s="21"/>
      <c r="O37" s="19"/>
      <c r="P37" s="19"/>
      <c r="R37"/>
      <c r="S37"/>
      <c r="T37" s="34"/>
    </row>
    <row r="38" spans="1:20">
      <c r="A38" s="20" t="s">
        <v>32</v>
      </c>
      <c r="B38" s="20" t="s">
        <v>357</v>
      </c>
      <c r="C38" s="18">
        <v>458</v>
      </c>
      <c r="D38" s="18">
        <v>756</v>
      </c>
      <c r="E38" s="19">
        <f>($C$38/881)*100</f>
        <v>51.986379114642453</v>
      </c>
      <c r="F38" s="19">
        <f>($D$38/1376)*100</f>
        <v>54.941860465116278</v>
      </c>
      <c r="G38" s="29">
        <f>($M$2 * ($C$38 + $D$38)) / $N$2</f>
        <v>454.91564888610833</v>
      </c>
      <c r="H38" s="29">
        <f>($L$2 * ($C$38 + $D$38)) / $N$2</f>
        <v>759.08435111389167</v>
      </c>
      <c r="I38" s="21">
        <f>CHITEST($C$38:$D$38,$G$38:$H$38)</f>
        <v>0.85489333768953157</v>
      </c>
      <c r="J38" s="18">
        <f>SUM($C$38,$D$38)</f>
        <v>1214</v>
      </c>
      <c r="K38" s="19">
        <f>($J$38/2257*100)</f>
        <v>53.788214443952157</v>
      </c>
      <c r="O38" s="19">
        <f>(($C$38 - $G$38)^2 / $G$38) + (($D$38 - $H$38)^2 / $H$38)</f>
        <v>3.3444552854448029E-2</v>
      </c>
      <c r="P38" s="19">
        <f>SQRT($O$38 / $J$38)</f>
        <v>5.2487193742437599E-3</v>
      </c>
      <c r="Q38">
        <f t="shared" si="0"/>
        <v>0.88796327567013156</v>
      </c>
      <c r="R38">
        <f t="shared" si="1"/>
        <v>8.6505068383004702E-2</v>
      </c>
      <c r="S38">
        <f t="shared" si="2"/>
        <v>0.74948061393577969</v>
      </c>
      <c r="T38" s="34">
        <f t="shared" si="3"/>
        <v>1.052033587364265</v>
      </c>
    </row>
    <row r="39" spans="1:20">
      <c r="A39" s="20" t="s">
        <v>33</v>
      </c>
      <c r="B39" s="20" t="s">
        <v>358</v>
      </c>
      <c r="C39" s="18">
        <v>361</v>
      </c>
      <c r="D39" s="18">
        <v>611</v>
      </c>
      <c r="E39" s="19">
        <f>($C$39/881)*100</f>
        <v>40.976163450624291</v>
      </c>
      <c r="F39" s="19">
        <f>($D$39/1376)*100</f>
        <v>44.404069767441861</v>
      </c>
      <c r="G39" s="29">
        <f>($M$2 * ($C$39 + $D$39)) / $N$2</f>
        <v>364.23229877866333</v>
      </c>
      <c r="H39" s="29">
        <f>($L$2 * ($C$39 + $D$39)) / $N$2</f>
        <v>607.76770122133667</v>
      </c>
      <c r="I39" s="21">
        <f>CHITEST($C$39:$D$39,$G$39:$H$39)</f>
        <v>0.83040373811525958</v>
      </c>
      <c r="J39" s="18">
        <f>SUM($C$39,$D$39)</f>
        <v>972</v>
      </c>
      <c r="K39" s="19">
        <f>($J$39/2257*100)</f>
        <v>43.066016836508645</v>
      </c>
      <c r="O39" s="19">
        <f>(($C$39 - $G$39)^2 / $G$39) + (($D$39 - $H$39)^2 / $H$39)</f>
        <v>4.5874695000421351E-2</v>
      </c>
      <c r="P39" s="19">
        <f>SQRT($O$39 / $J$39)</f>
        <v>6.869948200098632E-3</v>
      </c>
      <c r="Q39">
        <f t="shared" si="0"/>
        <v>0.86920873725292702</v>
      </c>
      <c r="R39">
        <f t="shared" si="1"/>
        <v>8.7389992442973435E-2</v>
      </c>
      <c r="S39">
        <f t="shared" si="2"/>
        <v>0.73237956808708438</v>
      </c>
      <c r="T39" s="34">
        <f t="shared" si="3"/>
        <v>1.0316014561823379</v>
      </c>
    </row>
    <row r="40" spans="1:20">
      <c r="A40" s="20" t="s">
        <v>34</v>
      </c>
      <c r="B40" s="20" t="s">
        <v>443</v>
      </c>
      <c r="C40" s="18">
        <v>410</v>
      </c>
      <c r="D40" s="18">
        <v>681</v>
      </c>
      <c r="E40" s="19">
        <f>($C$40/881)*100</f>
        <v>46.538024971623152</v>
      </c>
      <c r="F40" s="19">
        <f>($D$40/1376)*100</f>
        <v>49.491279069767444</v>
      </c>
      <c r="G40" s="29">
        <f>($M$2 * ($C$40 + $D$40)) / $N$2</f>
        <v>408.82452465794415</v>
      </c>
      <c r="H40" s="29">
        <f>($L$2 * ($C$40 + $D$40)) / $N$2</f>
        <v>682.17547534205585</v>
      </c>
      <c r="I40" s="21">
        <f>CHITEST($C$40:$D$40,$G$40:$H$40)</f>
        <v>0.94139180692067348</v>
      </c>
      <c r="J40" s="18">
        <f>SUM($C$40,$D$40)</f>
        <v>1091</v>
      </c>
      <c r="K40" s="19">
        <f>($J$40/2257*100)</f>
        <v>48.338502436863088</v>
      </c>
      <c r="O40" s="19">
        <f>(($C$40 - $G$40)^2 / $G$40) + (($D$40 - $H$40)^2 / $H$40)</f>
        <v>5.4052869551600782E-3</v>
      </c>
      <c r="P40" s="19">
        <f>SQRT($O$40 / $J$40)</f>
        <v>2.225855679531933E-3</v>
      </c>
      <c r="Q40">
        <f t="shared" si="0"/>
        <v>0.88838382421255113</v>
      </c>
      <c r="R40">
        <f t="shared" si="1"/>
        <v>8.6425947161961197E-2</v>
      </c>
      <c r="S40">
        <f t="shared" si="2"/>
        <v>0.74995186737822994</v>
      </c>
      <c r="T40" s="34">
        <f t="shared" si="3"/>
        <v>1.0523686298449866</v>
      </c>
    </row>
    <row r="41" spans="1:20" ht="25.5">
      <c r="A41" s="32" t="s">
        <v>35</v>
      </c>
      <c r="B41" s="20" t="s">
        <v>359</v>
      </c>
      <c r="C41" s="18">
        <v>246</v>
      </c>
      <c r="D41" s="18">
        <v>407</v>
      </c>
      <c r="E41" s="19">
        <f>($C$41/881)*100</f>
        <v>27.922814982973893</v>
      </c>
      <c r="F41" s="19">
        <f>($D$41/1376)*100</f>
        <v>29.578488372093027</v>
      </c>
      <c r="G41" s="29">
        <f>($M$2 * ($C$41 + $D$41)) / $N$2</f>
        <v>244.69515545521313</v>
      </c>
      <c r="H41" s="29">
        <f>($L$2 * ($C$41 + $D$41)) / $N$2</f>
        <v>408.30484454478687</v>
      </c>
      <c r="I41" s="21">
        <f>CHITEST($C$41:$D$41,$G$41:$H$41)</f>
        <v>0.91598717406020702</v>
      </c>
      <c r="J41" s="18">
        <f>SUM($C$41,$D$41)</f>
        <v>653</v>
      </c>
      <c r="K41" s="19">
        <f>($J$41/2257*100)</f>
        <v>28.932210899424014</v>
      </c>
      <c r="O41" s="19">
        <f>(($C$41 - $G$41)^2 / $G$41) + (($D$41 - $H$41)^2 / $H$41)</f>
        <v>1.1128095030018759E-2</v>
      </c>
      <c r="P41" s="19">
        <f>SQRT($O$41 / $J$41)</f>
        <v>4.1281343431021572E-3</v>
      </c>
      <c r="Q41">
        <f t="shared" si="0"/>
        <v>0.92233937588268311</v>
      </c>
      <c r="R41">
        <f t="shared" si="1"/>
        <v>9.5544952776592598E-2</v>
      </c>
      <c r="S41">
        <f t="shared" si="2"/>
        <v>0.76482353577483653</v>
      </c>
      <c r="T41" s="34">
        <f t="shared" si="3"/>
        <v>1.1122956924198339</v>
      </c>
    </row>
    <row r="42" spans="1:20">
      <c r="A42" s="20" t="s">
        <v>36</v>
      </c>
      <c r="B42" s="20" t="s">
        <v>360</v>
      </c>
      <c r="C42" s="18">
        <v>125</v>
      </c>
      <c r="D42" s="18">
        <v>179</v>
      </c>
      <c r="E42" s="19">
        <f>($C$42/881)*100</f>
        <v>14.188422247446084</v>
      </c>
      <c r="F42" s="19">
        <f>($D$42/1376)*100</f>
        <v>13.00872093023256</v>
      </c>
      <c r="G42" s="29">
        <f>($M$2 * ($C$42 + $D$42)) / $N$2</f>
        <v>113.9162745151375</v>
      </c>
      <c r="H42" s="29">
        <f>($L$2 * ($C$42 + $D$42)) / $N$2</f>
        <v>190.0837254848625</v>
      </c>
      <c r="I42" s="21">
        <f>CHITEST($C$42:$D$42,$G$42:$H$42)</f>
        <v>0.18908874980257673</v>
      </c>
      <c r="J42" s="18">
        <f>SUM($C$42,$D$42)</f>
        <v>304</v>
      </c>
      <c r="K42" s="19">
        <f>($J$42/2257*100)</f>
        <v>13.469206911829861</v>
      </c>
      <c r="O42" s="19">
        <f>(($C$42 - $G$42)^2 / $G$42) + (($D$42 - $H$42)^2 / $H$42)</f>
        <v>1.7247033094603403</v>
      </c>
      <c r="P42" s="19">
        <f>SQRT($O$42 / $J$42)</f>
        <v>7.5321750839585463E-2</v>
      </c>
      <c r="Q42">
        <f t="shared" si="0"/>
        <v>1.1056797020484173</v>
      </c>
      <c r="R42">
        <f t="shared" si="1"/>
        <v>0.12547814705985955</v>
      </c>
      <c r="S42">
        <f t="shared" si="2"/>
        <v>0.86460985593528128</v>
      </c>
      <c r="T42" s="34">
        <f t="shared" si="3"/>
        <v>1.4139644547533203</v>
      </c>
    </row>
    <row r="43" spans="1:20">
      <c r="A43" s="20" t="s">
        <v>37</v>
      </c>
      <c r="B43" s="20" t="s">
        <v>361</v>
      </c>
      <c r="C43" s="18">
        <v>396</v>
      </c>
      <c r="D43" s="18">
        <v>779</v>
      </c>
      <c r="E43" s="19">
        <f>($C$43/881)*100</f>
        <v>44.948921679909191</v>
      </c>
      <c r="F43" s="19">
        <f>($D$43/1376)*100</f>
        <v>56.613372093023251</v>
      </c>
      <c r="G43" s="29">
        <f>($M$2 * ($C$43 + $D$43)) / $N$2</f>
        <v>440.3013899844953</v>
      </c>
      <c r="H43" s="29">
        <f>($L$2 * ($C$43 + $D$43)) / $N$2</f>
        <v>734.69861001550476</v>
      </c>
      <c r="I43" s="21">
        <f>CHITEST($C$43:$D$43,$G$43:$H$43)</f>
        <v>7.5857653369338449E-3</v>
      </c>
      <c r="J43" s="18">
        <f>SUM($C$43,$D$43)</f>
        <v>1175</v>
      </c>
      <c r="K43" s="19">
        <f>($J$43/2257*100)</f>
        <v>52.060256978289765</v>
      </c>
      <c r="O43" s="19">
        <f>(($C$43 - $G$43)^2 / $G$43) + (($D$43 - $H$43)^2 / $H$43)</f>
        <v>7.128748567697949</v>
      </c>
      <c r="P43" s="19">
        <f>SQRT($O$43 / $J$43)</f>
        <v>7.7891078164416719E-2</v>
      </c>
      <c r="Q43">
        <f t="shared" si="0"/>
        <v>0.62573481730476554</v>
      </c>
      <c r="R43">
        <f t="shared" si="1"/>
        <v>8.6866835552466798E-2</v>
      </c>
      <c r="S43">
        <f t="shared" si="2"/>
        <v>0.52777374000066868</v>
      </c>
      <c r="T43" s="34">
        <f t="shared" si="3"/>
        <v>0.74187863455830949</v>
      </c>
    </row>
    <row r="44" spans="1:20">
      <c r="A44" s="20" t="s">
        <v>38</v>
      </c>
      <c r="B44" s="20" t="s">
        <v>362</v>
      </c>
      <c r="C44" s="18">
        <v>234</v>
      </c>
      <c r="D44" s="18">
        <v>417</v>
      </c>
      <c r="E44" s="19">
        <f>($C$44/881)*100</f>
        <v>26.560726447219068</v>
      </c>
      <c r="F44" s="19">
        <f>($D$44/1376)*100</f>
        <v>30.305232558139533</v>
      </c>
      <c r="G44" s="29">
        <f>($M$2 * ($C$44 + $D$44)) / $N$2</f>
        <v>243.94570628077142</v>
      </c>
      <c r="H44" s="29">
        <f>($L$2 * ($C$44 + $D$44)) / $N$2</f>
        <v>407.05429371922855</v>
      </c>
      <c r="I44" s="21">
        <f>CHITEST($C$44:$D$44,$G$44:$H$44)</f>
        <v>0.42065121895836116</v>
      </c>
      <c r="J44" s="18">
        <f>SUM($C$44,$D$44)</f>
        <v>651</v>
      </c>
      <c r="K44" s="19">
        <f>($J$44/2257*100)</f>
        <v>28.843597696056712</v>
      </c>
      <c r="O44" s="19">
        <f>(($C$44 - $G$44)^2 / $G$44) + (($D$44 - $H$44)^2 / $H$44)</f>
        <v>0.64849514452032664</v>
      </c>
      <c r="P44" s="19">
        <f>SQRT($O$44 / $J$44)</f>
        <v>3.1561880421327057E-2</v>
      </c>
      <c r="Q44">
        <f t="shared" si="0"/>
        <v>0.83175252688112256</v>
      </c>
      <c r="R44">
        <f t="shared" si="1"/>
        <v>9.6228549453593396E-2</v>
      </c>
      <c r="S44">
        <f t="shared" si="2"/>
        <v>0.68878349853410459</v>
      </c>
      <c r="T44" s="34">
        <f t="shared" si="3"/>
        <v>1.0043972706162005</v>
      </c>
    </row>
    <row r="45" spans="1:20">
      <c r="A45" s="20" t="s">
        <v>39</v>
      </c>
      <c r="B45" s="20" t="s">
        <v>363</v>
      </c>
      <c r="C45" s="18">
        <v>360</v>
      </c>
      <c r="D45" s="18">
        <v>606</v>
      </c>
      <c r="E45" s="19">
        <f>($C$45/881)*100</f>
        <v>40.862656072644718</v>
      </c>
      <c r="F45" s="19">
        <f>($D$45/1376)*100</f>
        <v>44.040697674418603</v>
      </c>
      <c r="G45" s="29">
        <f>($M$2 * ($C$45 + $D$45)) / $N$2</f>
        <v>361.98395125533824</v>
      </c>
      <c r="H45" s="29">
        <f>($L$2 * ($C$45 + $D$45)) / $N$2</f>
        <v>604.0160487446617</v>
      </c>
      <c r="I45" s="21">
        <f>CHITEST($C$45:$D$45,$G$45:$H$45)</f>
        <v>0.89508599929827193</v>
      </c>
      <c r="J45" s="18">
        <f>SUM($C$45,$D$45)</f>
        <v>966</v>
      </c>
      <c r="K45" s="19">
        <f>($J$45/2257*100)</f>
        <v>42.800177226406731</v>
      </c>
      <c r="O45" s="19">
        <f>(($C$45 - $G$45)^2 / $G$45) + (($D$45 - $H$45)^2 / $H$45)</f>
        <v>1.7390069882568228E-2</v>
      </c>
      <c r="P45" s="19">
        <f>SQRT($O$45 / $J$45)</f>
        <v>4.2428932034141364E-3</v>
      </c>
      <c r="Q45">
        <f t="shared" si="0"/>
        <v>0.87797647327112738</v>
      </c>
      <c r="R45">
        <f t="shared" si="1"/>
        <v>8.744157986636468E-2</v>
      </c>
      <c r="S45">
        <f t="shared" si="2"/>
        <v>0.73969230888011595</v>
      </c>
      <c r="T45" s="34">
        <f t="shared" si="3"/>
        <v>1.0421126167779844</v>
      </c>
    </row>
    <row r="46" spans="1:20">
      <c r="A46" s="20" t="s">
        <v>40</v>
      </c>
      <c r="B46" s="20" t="s">
        <v>444</v>
      </c>
      <c r="C46" s="18">
        <v>190</v>
      </c>
      <c r="D46" s="18">
        <v>249</v>
      </c>
      <c r="E46" s="19">
        <f>($C$46/881)*100</f>
        <v>21.566401816118049</v>
      </c>
      <c r="F46" s="19">
        <f>($D$46/1376)*100</f>
        <v>18.095930232558139</v>
      </c>
      <c r="G46" s="29">
        <f>($M$2 * ($C$46 + $D$46)) / $N$2</f>
        <v>164.50409378995187</v>
      </c>
      <c r="H46" s="29">
        <f>($L$2 * ($C$46 + $D$46)) / $N$2</f>
        <v>274.49590621004813</v>
      </c>
      <c r="I46" s="21">
        <f>CHITEST($C$46:$D$46,$G$46:$H$46)</f>
        <v>1.1940737418664625E-2</v>
      </c>
      <c r="J46" s="18">
        <f>SUM($C$46,$D$46)</f>
        <v>439</v>
      </c>
      <c r="K46" s="19">
        <f>($J$46/2257*100)</f>
        <v>19.450598139122729</v>
      </c>
      <c r="O46" s="19">
        <f>(($C$46 - $G$46)^2 / $G$46) + (($D$46 - $H$46)^2 / $H$46)</f>
        <v>6.3196473445715284</v>
      </c>
      <c r="P46" s="19">
        <f>SQRT($O$46 / $J$46)</f>
        <v>0.11998146539256951</v>
      </c>
      <c r="Q46">
        <f t="shared" si="0"/>
        <v>1.2445149628906362</v>
      </c>
      <c r="R46">
        <f t="shared" si="1"/>
        <v>0.1077669318528507</v>
      </c>
      <c r="S46">
        <f t="shared" si="2"/>
        <v>1.007551045975932</v>
      </c>
      <c r="T46" s="34">
        <f t="shared" si="3"/>
        <v>1.5372099498526841</v>
      </c>
    </row>
    <row r="47" spans="1:20">
      <c r="A47" s="20" t="s">
        <v>41</v>
      </c>
      <c r="B47" s="20" t="s">
        <v>445</v>
      </c>
      <c r="C47" s="18">
        <v>362</v>
      </c>
      <c r="D47" s="18">
        <v>481</v>
      </c>
      <c r="E47" s="19">
        <f>($C$47/881)*100</f>
        <v>41.089670828603857</v>
      </c>
      <c r="F47" s="19">
        <f>($D$47/1376)*100</f>
        <v>34.956395348837212</v>
      </c>
      <c r="G47" s="29">
        <f>($M$2 * ($C$47 + $D$47)) / $N$2</f>
        <v>315.89282702717406</v>
      </c>
      <c r="H47" s="29">
        <f>($L$2 * ($C$47 + $D$47)) / $N$2</f>
        <v>527.10717297282599</v>
      </c>
      <c r="I47" s="21">
        <f>CHITEST($C$47:$D$47,$G$47:$H$47)</f>
        <v>1.035597543642286E-3</v>
      </c>
      <c r="J47" s="18">
        <f>SUM($C$47,$D$47)</f>
        <v>843</v>
      </c>
      <c r="K47" s="19">
        <f>($J$47/2257*100)</f>
        <v>37.350465219317677</v>
      </c>
      <c r="O47" s="19">
        <f>(($C$47 - $G$47)^2 / $G$47) + (($D$47 - $H$47)^2 / $H$47)</f>
        <v>10.762814944430307</v>
      </c>
      <c r="P47" s="19">
        <f>SQRT($O$47 / $J$47)</f>
        <v>0.1129923781241558</v>
      </c>
      <c r="Q47">
        <f t="shared" si="0"/>
        <v>1.2978340724005464</v>
      </c>
      <c r="R47">
        <f t="shared" si="1"/>
        <v>8.8800527743847738E-2</v>
      </c>
      <c r="S47">
        <f t="shared" si="2"/>
        <v>1.0905124708019247</v>
      </c>
      <c r="T47" s="34">
        <f t="shared" si="3"/>
        <v>1.5445703965633308</v>
      </c>
    </row>
    <row r="48" spans="1:20">
      <c r="A48" s="20" t="s">
        <v>42</v>
      </c>
      <c r="B48" s="20" t="s">
        <v>446</v>
      </c>
      <c r="C48" s="18">
        <v>104</v>
      </c>
      <c r="D48" s="18">
        <v>222</v>
      </c>
      <c r="E48" s="19">
        <f>($C$48/881)*100</f>
        <v>11.804767309875142</v>
      </c>
      <c r="F48" s="19">
        <f>($D$48/1376)*100</f>
        <v>16.13372093023256</v>
      </c>
      <c r="G48" s="29">
        <f>($M$2 * ($C$48 + $D$48)) / $N$2</f>
        <v>122.16021543399614</v>
      </c>
      <c r="H48" s="29">
        <f>($L$2 * ($C$48 + $D$48)) / $N$2</f>
        <v>203.83978456600386</v>
      </c>
      <c r="I48" s="21">
        <f>CHITEST($C$48:$D$48,$G$48:$H$48)</f>
        <v>3.7720429556244217E-2</v>
      </c>
      <c r="J48" s="18">
        <f>SUM($C$48,$D$48)</f>
        <v>326</v>
      </c>
      <c r="K48" s="19">
        <f>($J$48/2257*100)</f>
        <v>14.443952148870181</v>
      </c>
      <c r="O48" s="19">
        <f>(($C$48 - $G$48)^2 / $G$48) + (($D$48 - $H$48)^2 / $H$48)</f>
        <v>4.3175845495274636</v>
      </c>
      <c r="P48" s="19">
        <f>SQRT($O$48 / $J$48)</f>
        <v>0.11508311946177671</v>
      </c>
      <c r="Q48">
        <f t="shared" si="0"/>
        <v>0.69576912820156067</v>
      </c>
      <c r="R48">
        <f t="shared" si="1"/>
        <v>0.12756739996334043</v>
      </c>
      <c r="S48">
        <f t="shared" si="2"/>
        <v>0.54184814614709931</v>
      </c>
      <c r="T48" s="34">
        <f t="shared" si="3"/>
        <v>0.8934139263935752</v>
      </c>
    </row>
    <row r="49" spans="1:20">
      <c r="A49" s="20" t="s">
        <v>43</v>
      </c>
      <c r="B49" s="20" t="s">
        <v>447</v>
      </c>
      <c r="C49" s="18">
        <v>486</v>
      </c>
      <c r="D49" s="18">
        <v>872</v>
      </c>
      <c r="E49" s="19">
        <f>($C$49/881)*100</f>
        <v>55.164585698070375</v>
      </c>
      <c r="F49" s="19">
        <f>($D$49/1376)*100</f>
        <v>63.372093023255815</v>
      </c>
      <c r="G49" s="29">
        <f>($M$2 * ($C$49 + $D$49)) / $N$2</f>
        <v>508.87598944591031</v>
      </c>
      <c r="H49" s="29">
        <f>($L$2 * ($C$49 + $D$49)) / $N$2</f>
        <v>849.12401055408975</v>
      </c>
      <c r="I49" s="21">
        <f>CHITEST($C$49:$D$49,$G$49:$H$49)</f>
        <v>0.19968712209385051</v>
      </c>
      <c r="J49" s="18">
        <f>SUM($C$49,$D$49)</f>
        <v>1358</v>
      </c>
      <c r="K49" s="19">
        <f>($J$49/2257*100)</f>
        <v>60.16836508639787</v>
      </c>
      <c r="O49" s="19">
        <f>(($C$49 - $G$49)^2 / $G$49) + (($D$49 - $H$49)^2 / $H$49)</f>
        <v>1.6446612632980613</v>
      </c>
      <c r="P49" s="19">
        <f>SQRT($O$49 / $J$49)</f>
        <v>3.4800729421388892E-2</v>
      </c>
      <c r="Q49">
        <f t="shared" si="0"/>
        <v>0.71113691789571465</v>
      </c>
      <c r="R49">
        <f t="shared" si="1"/>
        <v>8.7864524771361543E-2</v>
      </c>
      <c r="S49">
        <f t="shared" si="2"/>
        <v>0.59863407218826969</v>
      </c>
      <c r="T49" s="34">
        <f t="shared" si="3"/>
        <v>0.84478271366279567</v>
      </c>
    </row>
    <row r="50" spans="1:20">
      <c r="A50" s="20" t="s">
        <v>44</v>
      </c>
      <c r="B50" s="20" t="s">
        <v>448</v>
      </c>
      <c r="C50" s="18">
        <v>187</v>
      </c>
      <c r="D50" s="18">
        <v>405</v>
      </c>
      <c r="E50" s="19">
        <f>($C$50/881)*100</f>
        <v>21.22587968217934</v>
      </c>
      <c r="F50" s="19">
        <f>($D$50/1376)*100</f>
        <v>29.433139534883722</v>
      </c>
      <c r="G50" s="29">
        <f>($M$2 * ($C$50 + $D$50)) / $N$2</f>
        <v>221.83695563474146</v>
      </c>
      <c r="H50" s="29">
        <f>($L$2 * ($C$50 + $D$50)) / $N$2</f>
        <v>370.16304436525854</v>
      </c>
      <c r="I50" s="21">
        <f>CHITEST($C$50:$D$50,$G$50:$H$50)</f>
        <v>3.0971464170793084E-3</v>
      </c>
      <c r="J50" s="18">
        <f>SUM($C$50,$D$50)</f>
        <v>592</v>
      </c>
      <c r="K50" s="19">
        <f>($J$50/2257*100)</f>
        <v>26.229508196721312</v>
      </c>
      <c r="O50" s="19">
        <f>(($C$50 - $G$50)^2 / $G$50) + (($D$50 - $H$50)^2 / $H$50)</f>
        <v>8.7493369607521529</v>
      </c>
      <c r="P50" s="19">
        <f>SQRT($O$50 / $J$50)</f>
        <v>0.1215700843409921</v>
      </c>
      <c r="Q50">
        <f t="shared" si="0"/>
        <v>0.64602056427224541</v>
      </c>
      <c r="R50">
        <f t="shared" si="1"/>
        <v>0.10142740109538104</v>
      </c>
      <c r="S50">
        <f t="shared" si="2"/>
        <v>0.52955319906256015</v>
      </c>
      <c r="T50" s="34">
        <f t="shared" si="3"/>
        <v>0.78810319756623082</v>
      </c>
    </row>
    <row r="51" spans="1:20">
      <c r="A51" s="20" t="s">
        <v>45</v>
      </c>
      <c r="B51" s="20" t="s">
        <v>449</v>
      </c>
      <c r="C51" s="18">
        <v>259</v>
      </c>
      <c r="D51" s="18">
        <v>331</v>
      </c>
      <c r="E51" s="19">
        <f>($C$51/881)*100</f>
        <v>29.398410896708288</v>
      </c>
      <c r="F51" s="19">
        <f>($D$51/1376)*100</f>
        <v>24.055232558139537</v>
      </c>
      <c r="G51" s="29">
        <f>($M$2 * ($C$51 + $D$51)) / $N$2</f>
        <v>221.08750646029975</v>
      </c>
      <c r="H51" s="29">
        <f>($L$2 * ($C$51 + $D$51)) / $N$2</f>
        <v>368.91249353970022</v>
      </c>
      <c r="I51" s="21">
        <f>CHITEST($C$51:$D$51,$G$51:$H$51)</f>
        <v>1.261856855791199E-3</v>
      </c>
      <c r="J51" s="18">
        <f>SUM($C$51,$D$51)</f>
        <v>590</v>
      </c>
      <c r="K51" s="19">
        <f>($J$51/2257*100)</f>
        <v>26.140894993354006</v>
      </c>
      <c r="O51" s="19">
        <f>(($C$51 - $G$51)^2 / $G$51) + (($D$51 - $H$51)^2 / $H$51)</f>
        <v>10.397505182883142</v>
      </c>
      <c r="P51" s="19">
        <f>SQRT($O$51 / $J$51)</f>
        <v>0.13275123404503592</v>
      </c>
      <c r="Q51">
        <f t="shared" si="0"/>
        <v>1.3146122536210061</v>
      </c>
      <c r="R51">
        <f t="shared" si="1"/>
        <v>9.7194684721446281E-2</v>
      </c>
      <c r="S51">
        <f t="shared" si="2"/>
        <v>1.0865854622508022</v>
      </c>
      <c r="T51" s="34">
        <f t="shared" si="3"/>
        <v>1.5904919009229312</v>
      </c>
    </row>
    <row r="52" spans="1:20">
      <c r="B52" s="20"/>
      <c r="I52" s="21"/>
      <c r="O52" s="19"/>
      <c r="P52" s="19"/>
      <c r="R52"/>
      <c r="S52"/>
      <c r="T52" s="34"/>
    </row>
    <row r="53" spans="1:20">
      <c r="A53" s="16" t="s">
        <v>46</v>
      </c>
      <c r="B53" s="20"/>
      <c r="I53" s="21"/>
      <c r="O53" s="19"/>
      <c r="P53" s="19"/>
      <c r="R53"/>
      <c r="S53"/>
      <c r="T53" s="34"/>
    </row>
    <row r="54" spans="1:20">
      <c r="A54" s="20" t="s">
        <v>58</v>
      </c>
      <c r="B54" s="20" t="s">
        <v>364</v>
      </c>
      <c r="C54" s="18">
        <v>543</v>
      </c>
      <c r="D54" s="18">
        <v>909</v>
      </c>
      <c r="E54" s="19">
        <f>($C$54/881)*100</f>
        <v>61.634506242905786</v>
      </c>
      <c r="F54" s="19">
        <f>($D$54/1376)*100</f>
        <v>66.061046511627907</v>
      </c>
      <c r="G54" s="29">
        <f>($M$2 * ($C$54 + $D$54)) / $N$2</f>
        <v>544.10010064466996</v>
      </c>
      <c r="H54" s="29">
        <f>($L$2 * ($C$54 + $D$54)) / $N$2</f>
        <v>907.89989935533004</v>
      </c>
      <c r="I54" s="21">
        <f>CHITEST($C$54:$D$54,$G$54:$H$54)</f>
        <v>0.95244020430918652</v>
      </c>
      <c r="J54" s="18">
        <f>SUM($C$54,$D$54)</f>
        <v>1452</v>
      </c>
      <c r="K54" s="19">
        <f>($J$54/2257*100)</f>
        <v>64.333185644661057</v>
      </c>
      <c r="O54" s="19">
        <f>(($C$54 - $G$54)^2 / $G$54) + (($D$54 - $H$54)^2 / $H$54)</f>
        <v>3.5572523957384085E-3</v>
      </c>
      <c r="P54" s="19">
        <f>SQRT($O$54 / $J$54)</f>
        <v>1.5652151111500482E-3</v>
      </c>
      <c r="Q54">
        <f t="shared" si="0"/>
        <v>0.8253461440818638</v>
      </c>
      <c r="R54">
        <f t="shared" si="1"/>
        <v>8.9675181304167184E-2</v>
      </c>
      <c r="S54">
        <f t="shared" si="2"/>
        <v>0.69231393190529955</v>
      </c>
      <c r="T54" s="34">
        <f t="shared" si="3"/>
        <v>0.983941281776748</v>
      </c>
    </row>
    <row r="55" spans="1:20">
      <c r="A55" s="20" t="s">
        <v>59</v>
      </c>
      <c r="B55" s="20" t="s">
        <v>450</v>
      </c>
      <c r="C55" s="18">
        <v>707</v>
      </c>
      <c r="D55" s="18">
        <v>1151</v>
      </c>
      <c r="E55" s="19">
        <f>($C$55/881)*100</f>
        <v>80.249716231555041</v>
      </c>
      <c r="F55" s="19">
        <f>($D$55/1376)*100</f>
        <v>83.648255813953483</v>
      </c>
      <c r="G55" s="29">
        <f>($M$2 * ($C$55 + $D$55)) / $N$2</f>
        <v>696.23828305633378</v>
      </c>
      <c r="H55" s="29">
        <f>($L$2 * ($C$55 + $D$55)) / $N$2</f>
        <v>1161.7617169436662</v>
      </c>
      <c r="I55" s="21">
        <f>CHITEST($C$55:$D$55,$G$55:$H$55)</f>
        <v>0.6060060472156461</v>
      </c>
      <c r="J55" s="18">
        <f>SUM($C$55,$D$55)</f>
        <v>1858</v>
      </c>
      <c r="K55" s="19">
        <f>($J$55/2257*100)</f>
        <v>82.321665928223311</v>
      </c>
      <c r="O55" s="19">
        <f>(($C$55 - $G$55)^2 / $G$55) + (($D$55 - $H$55)^2 / $H$55)</f>
        <v>0.26603199962988133</v>
      </c>
      <c r="P55" s="19">
        <f>SQRT($O$55 / $J$55)</f>
        <v>1.196586460894275E-2</v>
      </c>
      <c r="Q55">
        <f t="shared" si="0"/>
        <v>0.79428682704694564</v>
      </c>
      <c r="R55">
        <f t="shared" si="1"/>
        <v>0.11169067897052309</v>
      </c>
      <c r="S55">
        <f t="shared" si="2"/>
        <v>0.63812290659963367</v>
      </c>
      <c r="T55" s="34">
        <f t="shared" si="3"/>
        <v>0.98866778969295621</v>
      </c>
    </row>
    <row r="56" spans="1:20">
      <c r="A56" s="20" t="s">
        <v>60</v>
      </c>
      <c r="B56" s="20" t="s">
        <v>451</v>
      </c>
      <c r="C56" s="18">
        <v>302</v>
      </c>
      <c r="D56" s="18">
        <v>437</v>
      </c>
      <c r="E56" s="19">
        <f>($C$56/881)*100</f>
        <v>34.279228149829741</v>
      </c>
      <c r="F56" s="19">
        <f>($D$56/1376)*100</f>
        <v>31.75872093023256</v>
      </c>
      <c r="G56" s="29">
        <f>($M$2 * ($C$56 + $D$56)) / $N$2</f>
        <v>276.92146995620595</v>
      </c>
      <c r="H56" s="29">
        <f>($L$2 * ($C$56 + $D$56)) / $N$2</f>
        <v>462.07853004379405</v>
      </c>
      <c r="I56" s="21">
        <f>CHITEST($C$56:$D$56,$G$56:$H$56)</f>
        <v>5.6670028098664157E-2</v>
      </c>
      <c r="J56" s="18">
        <f>SUM($C$56,$D$56)</f>
        <v>739</v>
      </c>
      <c r="K56" s="19">
        <f>($J$56/2257*100)</f>
        <v>32.742578644217993</v>
      </c>
      <c r="O56" s="19">
        <f>(($C$56 - $G$56)^2 / $G$56) + (($D$56 - $H$56)^2 / $H$56)</f>
        <v>3.6322536960640983</v>
      </c>
      <c r="P56" s="19">
        <f>SQRT($O$56 / $J$56)</f>
        <v>7.0107723954912118E-2</v>
      </c>
      <c r="Q56">
        <f t="shared" si="0"/>
        <v>1.1207597728269763</v>
      </c>
      <c r="R56">
        <f t="shared" si="1"/>
        <v>9.160603823249916E-2</v>
      </c>
      <c r="S56">
        <f t="shared" si="2"/>
        <v>0.93656063666393508</v>
      </c>
      <c r="T56" s="34">
        <f t="shared" si="3"/>
        <v>1.3411864851179958</v>
      </c>
    </row>
    <row r="57" spans="1:20">
      <c r="A57" s="20" t="s">
        <v>61</v>
      </c>
      <c r="B57" s="20" t="s">
        <v>452</v>
      </c>
      <c r="C57" s="18">
        <v>482</v>
      </c>
      <c r="D57" s="18">
        <v>696</v>
      </c>
      <c r="E57" s="19">
        <f>($C$57/881)*100</f>
        <v>54.710556186152104</v>
      </c>
      <c r="F57" s="19">
        <f>($D$57/1376)*100</f>
        <v>50.581395348837212</v>
      </c>
      <c r="G57" s="29">
        <f>($M$2 * ($C$57 + $D$57)) / $N$2</f>
        <v>441.42556374615782</v>
      </c>
      <c r="H57" s="29">
        <f>($L$2 * ($C$57 + $D$57)) / $N$2</f>
        <v>736.57443625384212</v>
      </c>
      <c r="I57" s="21">
        <f>CHITEST($C$57:$D$57,$G$57:$H$57)</f>
        <v>1.4596498857175715E-2</v>
      </c>
      <c r="J57" s="18">
        <f>SUM($C$57,$D$57)</f>
        <v>1178</v>
      </c>
      <c r="K57" s="19">
        <f>($J$57/2257*100)</f>
        <v>52.193176783340725</v>
      </c>
      <c r="O57" s="19">
        <f>(($C$57 - $G$57)^2 / $G$57) + (($D$57 - $H$57)^2 / $H$57)</f>
        <v>5.9645290327463165</v>
      </c>
      <c r="P57" s="19">
        <f>SQRT($O$57 / $J$57)</f>
        <v>7.1156640098975585E-2</v>
      </c>
      <c r="Q57">
        <f t="shared" si="0"/>
        <v>1.1802494742603638</v>
      </c>
      <c r="R57">
        <f t="shared" si="1"/>
        <v>8.6535104468246984E-2</v>
      </c>
      <c r="S57">
        <f t="shared" si="2"/>
        <v>0.99612455921770415</v>
      </c>
      <c r="T57" s="34">
        <f t="shared" si="3"/>
        <v>1.3984082699314571</v>
      </c>
    </row>
    <row r="58" spans="1:20" ht="25.5">
      <c r="A58" s="32" t="s">
        <v>62</v>
      </c>
      <c r="B58" s="20" t="s">
        <v>365</v>
      </c>
      <c r="C58" s="18">
        <v>405</v>
      </c>
      <c r="D58" s="18">
        <v>617</v>
      </c>
      <c r="E58" s="19">
        <f>($C$58/881)*100</f>
        <v>45.970488081725314</v>
      </c>
      <c r="F58" s="19">
        <f>($D$58/1376)*100</f>
        <v>44.840116279069768</v>
      </c>
      <c r="G58" s="29">
        <f>($M$2 * ($C$58 + $D$58)) / $N$2</f>
        <v>382.96852813970565</v>
      </c>
      <c r="H58" s="29">
        <f>($L$2 * ($C$58 + $D$58)) / $N$2</f>
        <v>639.03147186029435</v>
      </c>
      <c r="I58" s="21">
        <f>CHITEST($C$58:$D$58,$G$58:$H$58)</f>
        <v>0.15452592073073437</v>
      </c>
      <c r="J58" s="18">
        <f>SUM($C$58,$D$58)</f>
        <v>1022</v>
      </c>
      <c r="K58" s="19">
        <f>($J$58/2257*100)</f>
        <v>45.281346920691185</v>
      </c>
      <c r="O58" s="19">
        <f>(($C$58 - $G$58)^2 / $G$58) + (($D$58 - $H$58)^2 / $H$58)</f>
        <v>2.0269945777393645</v>
      </c>
      <c r="P58" s="19">
        <f>SQRT($O$58 / $J$58)</f>
        <v>4.4534937336664027E-2</v>
      </c>
      <c r="Q58">
        <f t="shared" si="0"/>
        <v>1.0466577230568077</v>
      </c>
      <c r="R58">
        <f t="shared" si="1"/>
        <v>8.6650128321929434E-2</v>
      </c>
      <c r="S58">
        <f t="shared" si="2"/>
        <v>0.88317466869792116</v>
      </c>
      <c r="T58" s="34">
        <f t="shared" si="3"/>
        <v>1.2404028648710719</v>
      </c>
    </row>
    <row r="59" spans="1:20">
      <c r="A59" s="20" t="s">
        <v>63</v>
      </c>
      <c r="B59" s="20" t="s">
        <v>453</v>
      </c>
      <c r="C59" s="18">
        <v>361</v>
      </c>
      <c r="D59" s="18">
        <v>522</v>
      </c>
      <c r="E59" s="19">
        <f>($C$59/881)*100</f>
        <v>40.976163450624291</v>
      </c>
      <c r="F59" s="19">
        <f>($D$59/1376)*100</f>
        <v>37.936046511627907</v>
      </c>
      <c r="G59" s="29">
        <f>($M$2 * ($C$59 + $D$59)) / $N$2</f>
        <v>330.88181051600793</v>
      </c>
      <c r="H59" s="29">
        <f>($L$2 * ($C$59 + $D$59)) / $N$2</f>
        <v>552.11818948399207</v>
      </c>
      <c r="I59" s="21">
        <f>CHITEST($C$59:$D$59,$G$59:$H$59)</f>
        <v>3.6268544825706149E-2</v>
      </c>
      <c r="J59" s="18">
        <f>SUM($C$59,$D$59)</f>
        <v>883</v>
      </c>
      <c r="K59" s="19">
        <f>($J$59/2257*100)</f>
        <v>39.122729286663713</v>
      </c>
      <c r="O59" s="19">
        <f>(($C$59 - $G$59)^2 / $G$59) + (($D$59 - $H$59)^2 / $H$59)</f>
        <v>4.3844333999597023</v>
      </c>
      <c r="P59" s="19">
        <f>SQRT($O$59 / $J$59)</f>
        <v>7.0465475510440287E-2</v>
      </c>
      <c r="Q59">
        <f t="shared" si="0"/>
        <v>1.1357721780135572</v>
      </c>
      <c r="R59">
        <f t="shared" si="1"/>
        <v>8.8203339081829341E-2</v>
      </c>
      <c r="S59">
        <f t="shared" si="2"/>
        <v>0.955456739154391</v>
      </c>
      <c r="T59" s="34">
        <f t="shared" si="3"/>
        <v>1.3501170565726823</v>
      </c>
    </row>
    <row r="60" spans="1:20">
      <c r="A60" s="20" t="s">
        <v>64</v>
      </c>
      <c r="B60" s="20" t="s">
        <v>454</v>
      </c>
      <c r="C60" s="18">
        <v>379</v>
      </c>
      <c r="D60" s="18">
        <v>654</v>
      </c>
      <c r="E60" s="19">
        <f>($C$60/881)*100</f>
        <v>43.019296254256531</v>
      </c>
      <c r="F60" s="19">
        <f>($D$60/1376)*100</f>
        <v>47.529069767441861</v>
      </c>
      <c r="G60" s="29">
        <f>($M$2 * ($C$60 + $D$60)) / $N$2</f>
        <v>387.090498599135</v>
      </c>
      <c r="H60" s="29">
        <f>($L$2 * ($C$60 + $D$60)) / $N$2</f>
        <v>645.909501400865</v>
      </c>
      <c r="I60" s="21">
        <f>CHITEST($C$60:$D$60,$G$60:$H$60)</f>
        <v>0.60303852860436513</v>
      </c>
      <c r="J60" s="18">
        <f>SUM($C$60,$D$60)</f>
        <v>1033</v>
      </c>
      <c r="K60" s="19">
        <f>($J$60/2257*100)</f>
        <v>45.768719539211347</v>
      </c>
      <c r="O60" s="19">
        <f>(($C$60 - $G$60)^2 / $G$60) + (($D$60 - $H$60)^2 / $H$60)</f>
        <v>0.2704373745369768</v>
      </c>
      <c r="P60" s="19">
        <f>SQRT($O$60 / $J$60)</f>
        <v>1.6180174264883277E-2</v>
      </c>
      <c r="Q60">
        <f t="shared" si="0"/>
        <v>0.83347953750746251</v>
      </c>
      <c r="R60">
        <f t="shared" si="1"/>
        <v>8.6859932298872497E-2</v>
      </c>
      <c r="S60">
        <f t="shared" si="2"/>
        <v>0.7030047752786992</v>
      </c>
      <c r="T60" s="34">
        <f t="shared" si="3"/>
        <v>0.98816987291196057</v>
      </c>
    </row>
    <row r="61" spans="1:20">
      <c r="A61" s="17"/>
      <c r="B61" s="20"/>
      <c r="I61" s="21"/>
      <c r="O61" s="19"/>
      <c r="P61" s="19"/>
      <c r="R61"/>
      <c r="S61"/>
      <c r="T61" s="34"/>
    </row>
    <row r="62" spans="1:20">
      <c r="A62" s="17" t="s">
        <v>47</v>
      </c>
      <c r="B62" s="20"/>
      <c r="I62" s="21"/>
      <c r="O62" s="19"/>
      <c r="P62" s="19"/>
      <c r="R62"/>
      <c r="S62"/>
      <c r="T62" s="34"/>
    </row>
    <row r="63" spans="1:20" ht="25.5">
      <c r="A63" s="32" t="s">
        <v>65</v>
      </c>
      <c r="B63" s="20" t="s">
        <v>455</v>
      </c>
      <c r="C63" s="18">
        <v>496</v>
      </c>
      <c r="D63" s="18">
        <v>947</v>
      </c>
      <c r="E63" s="19">
        <f>($C$63/881)*100</f>
        <v>56.299659477866058</v>
      </c>
      <c r="F63" s="19">
        <f>($D$63/1376)*100</f>
        <v>68.822674418604649</v>
      </c>
      <c r="G63" s="29">
        <f>($M$2 * ($C$63 + $D$63)) / $N$2</f>
        <v>540.7275793596823</v>
      </c>
      <c r="H63" s="29">
        <f>($L$2 * ($C$63 + $D$63)) / $N$2</f>
        <v>902.2724206403177</v>
      </c>
      <c r="I63" s="21">
        <f>CHITEST($C$63:$D$63,$G$63:$H$63)</f>
        <v>1.4995545869486973E-2</v>
      </c>
      <c r="J63" s="18">
        <f>SUM($C$63,$D$63)</f>
        <v>1443</v>
      </c>
      <c r="K63" s="19">
        <f>($J$63/2257*100)</f>
        <v>63.934426229508205</v>
      </c>
      <c r="O63" s="19">
        <f>(($C$63 - $G$63)^2 / $G$63) + (($D$63 - $H$63)^2 / $H$63)</f>
        <v>5.9169911177461589</v>
      </c>
      <c r="P63" s="19">
        <f>SQRT($O$63 / $J$63)</f>
        <v>6.4034982197834905E-2</v>
      </c>
      <c r="Q63">
        <f t="shared" si="0"/>
        <v>0.58361743852768133</v>
      </c>
      <c r="R63">
        <f t="shared" si="1"/>
        <v>8.9445515090161465E-2</v>
      </c>
      <c r="S63">
        <f t="shared" si="2"/>
        <v>0.48976833205772696</v>
      </c>
      <c r="T63" s="34">
        <f t="shared" si="3"/>
        <v>0.69544985304085705</v>
      </c>
    </row>
    <row r="64" spans="1:20">
      <c r="A64" s="20" t="s">
        <v>66</v>
      </c>
      <c r="B64" s="20" t="s">
        <v>456</v>
      </c>
      <c r="C64" s="18">
        <v>390</v>
      </c>
      <c r="D64" s="18">
        <v>689</v>
      </c>
      <c r="E64" s="19">
        <f>($C$64/881)*100</f>
        <v>44.26787741203178</v>
      </c>
      <c r="F64" s="19">
        <f>($D$64/1376)*100</f>
        <v>50.072674418604649</v>
      </c>
      <c r="G64" s="29">
        <f>($M$2 * ($C$64 + $D$64)) / $N$2</f>
        <v>404.32782961129396</v>
      </c>
      <c r="H64" s="29">
        <f>($L$2 * ($C$64 + $D$64)) / $N$2</f>
        <v>674.67217038870604</v>
      </c>
      <c r="I64" s="21">
        <f>CHITEST($C$64:$D$64,$G$64:$H$64)</f>
        <v>0.36752971977539239</v>
      </c>
      <c r="J64" s="18">
        <f>SUM($C$64,$D$64)</f>
        <v>1079</v>
      </c>
      <c r="K64" s="19">
        <f>($J$64/2257*100)</f>
        <v>47.806823216659282</v>
      </c>
      <c r="O64" s="19">
        <f>(($C$64 - $G$64)^2 / $G$64) + (($D$64 - $H$64)^2 / $H$64)</f>
        <v>0.81199962785988666</v>
      </c>
      <c r="P64" s="19">
        <f>SQRT($O$64 / $J$64)</f>
        <v>2.7432614007228497E-2</v>
      </c>
      <c r="Q64">
        <f t="shared" si="0"/>
        <v>0.79199169965030924</v>
      </c>
      <c r="R64">
        <f t="shared" si="1"/>
        <v>8.6647246508263373E-2</v>
      </c>
      <c r="S64">
        <f t="shared" si="2"/>
        <v>0.66829006502364974</v>
      </c>
      <c r="T64" s="34">
        <f t="shared" si="3"/>
        <v>0.93859071852697407</v>
      </c>
    </row>
    <row r="65" spans="1:20">
      <c r="A65" s="20" t="s">
        <v>67</v>
      </c>
      <c r="B65" s="20" t="s">
        <v>457</v>
      </c>
      <c r="C65" s="18">
        <v>188</v>
      </c>
      <c r="D65" s="18">
        <v>280</v>
      </c>
      <c r="E65" s="19">
        <f>($C$65/881)*100</f>
        <v>21.339387060158909</v>
      </c>
      <c r="F65" s="19">
        <f>($D$65/1376)*100</f>
        <v>20.348837209302324</v>
      </c>
      <c r="G65" s="29">
        <f>($M$2 * ($C$65 + $D$65)) / $N$2</f>
        <v>175.37110681935641</v>
      </c>
      <c r="H65" s="29">
        <f>($L$2 * ($C$65 + $D$65)) / $N$2</f>
        <v>292.62889318064356</v>
      </c>
      <c r="I65" s="21">
        <f>CHITEST($C$65:$D$65,$G$65:$H$65)</f>
        <v>0.22781397334910614</v>
      </c>
      <c r="J65" s="18">
        <f>SUM($C$65,$D$65)</f>
        <v>468</v>
      </c>
      <c r="K65" s="19">
        <f>($J$65/2257*100)</f>
        <v>20.735489587948607</v>
      </c>
      <c r="O65" s="19">
        <f>(($C$65 - $G$65)^2 / $G$65) + (($D$65 - $H$65)^2 / $H$65)</f>
        <v>1.4544580014052673</v>
      </c>
      <c r="P65" s="19">
        <f>SQRT($O$65 / $J$65)</f>
        <v>5.5747791367182858E-2</v>
      </c>
      <c r="Q65">
        <f t="shared" si="0"/>
        <v>1.0618841475984333</v>
      </c>
      <c r="R65">
        <f t="shared" si="1"/>
        <v>0.10604710137351381</v>
      </c>
      <c r="S65">
        <f t="shared" si="2"/>
        <v>0.86259715692258387</v>
      </c>
      <c r="T65" s="34">
        <f t="shared" si="3"/>
        <v>1.3072126819240728</v>
      </c>
    </row>
    <row r="66" spans="1:20">
      <c r="A66" s="20" t="s">
        <v>68</v>
      </c>
      <c r="B66" s="20" t="s">
        <v>458</v>
      </c>
      <c r="C66" s="18">
        <v>419</v>
      </c>
      <c r="D66" s="18">
        <v>762</v>
      </c>
      <c r="E66" s="19">
        <f>($C$66/881)*100</f>
        <v>47.559591373439275</v>
      </c>
      <c r="F66" s="19">
        <f>($D$66/1376)*100</f>
        <v>55.377906976744185</v>
      </c>
      <c r="G66" s="29">
        <f>($M$2 * ($C$66 + $D$66)) / $N$2</f>
        <v>442.54973750782034</v>
      </c>
      <c r="H66" s="29">
        <f>($L$2 * ($C$66 + $D$66)) / $N$2</f>
        <v>738.4502624921796</v>
      </c>
      <c r="I66" s="21">
        <f>CHITEST($C$66:$D$66,$G$66:$H$66)</f>
        <v>0.15686515428723682</v>
      </c>
      <c r="J66" s="18">
        <f>SUM($C$66,$D$66)</f>
        <v>1181</v>
      </c>
      <c r="K66" s="19">
        <f>($J$66/2257*100)</f>
        <v>52.326096588391671</v>
      </c>
      <c r="O66" s="19">
        <f>(($C$66 - $G$66)^2 / $G$66) + (($D$66 - $H$66)^2 / $H$66)</f>
        <v>2.0041891300731449</v>
      </c>
      <c r="P66" s="19">
        <f>SQRT($O$66 / $J$66)</f>
        <v>4.1194990057284477E-2</v>
      </c>
      <c r="Q66">
        <f t="shared" si="0"/>
        <v>0.73077797093545116</v>
      </c>
      <c r="R66">
        <f t="shared" si="1"/>
        <v>8.655713409355785E-2</v>
      </c>
      <c r="S66">
        <f t="shared" si="2"/>
        <v>0.61674626377077313</v>
      </c>
      <c r="T66" s="34">
        <f t="shared" si="3"/>
        <v>0.86589327601183652</v>
      </c>
    </row>
    <row r="67" spans="1:20">
      <c r="A67" s="20" t="s">
        <v>69</v>
      </c>
      <c r="B67" s="20" t="s">
        <v>501</v>
      </c>
      <c r="C67" s="18">
        <v>234</v>
      </c>
      <c r="D67" s="18">
        <v>438</v>
      </c>
      <c r="E67" s="19">
        <f>($C$67/881)*100</f>
        <v>26.560726447219068</v>
      </c>
      <c r="F67" s="19">
        <f>($D$67/1376)*100</f>
        <v>31.831395348837212</v>
      </c>
      <c r="G67" s="29">
        <f>($M$2 * ($C$67 + $D$67)) / $N$2</f>
        <v>251.81492261240922</v>
      </c>
      <c r="H67" s="29">
        <f>($L$2 * ($C$67 + $D$67)) / $N$2</f>
        <v>420.18507738759081</v>
      </c>
      <c r="I67" s="21">
        <f>CHITEST($C$67:$D$67,$G$67:$H$67)</f>
        <v>0.155684612289787</v>
      </c>
      <c r="J67" s="18">
        <f>SUM($C$67,$D$67)</f>
        <v>672</v>
      </c>
      <c r="K67" s="19">
        <f>($J$67/2257*100)</f>
        <v>29.774036331413377</v>
      </c>
      <c r="O67" s="19">
        <f>(($C$67 - $G$67)^2 / $G$67) + (($D$67 - $H$67)^2 / $H$67)</f>
        <v>2.0156497347682247</v>
      </c>
      <c r="P67" s="19">
        <f>SQRT($O$67 / $J$67)</f>
        <v>5.4767497404724683E-2</v>
      </c>
      <c r="Q67">
        <f t="shared" si="0"/>
        <v>0.77453367491689773</v>
      </c>
      <c r="R67">
        <f t="shared" si="1"/>
        <v>9.5751252897571026E-2</v>
      </c>
      <c r="S67">
        <f t="shared" si="2"/>
        <v>0.6420002433819354</v>
      </c>
      <c r="T67" s="34">
        <f t="shared" si="3"/>
        <v>0.93442708124237239</v>
      </c>
    </row>
    <row r="68" spans="1:20">
      <c r="A68" s="20" t="s">
        <v>70</v>
      </c>
      <c r="B68" s="20" t="s">
        <v>459</v>
      </c>
      <c r="C68" s="18">
        <v>280</v>
      </c>
      <c r="D68" s="18">
        <v>545</v>
      </c>
      <c r="E68" s="19">
        <f>($C$68/881)*100</f>
        <v>31.782065834279226</v>
      </c>
      <c r="F68" s="19">
        <f>($D$68/1376)*100</f>
        <v>39.607558139534881</v>
      </c>
      <c r="G68" s="29">
        <f>($M$2 * ($C$68 + $D$68)) / $N$2</f>
        <v>309.14778445719884</v>
      </c>
      <c r="H68" s="29">
        <f>($L$2 * ($C$68 + $D$68)) / $N$2</f>
        <v>515.85221554280122</v>
      </c>
      <c r="I68" s="21">
        <f>CHITEST($C$68:$D$68,$G$68:$H$68)</f>
        <v>3.6041308971008032E-2</v>
      </c>
      <c r="J68" s="18">
        <f>SUM($C$68,$D$68)</f>
        <v>825</v>
      </c>
      <c r="K68" s="19">
        <f>($J$68/2257*100)</f>
        <v>36.552946389011964</v>
      </c>
      <c r="O68" s="19">
        <f>(($C$68 - $G$68)^2 / $G$68) + (($D$68 - $H$68)^2 / $H$68)</f>
        <v>4.3951490603861467</v>
      </c>
      <c r="P68" s="19">
        <f>SQRT($O$68 / $J$68)</f>
        <v>7.2989406125332071E-2</v>
      </c>
      <c r="Q68">
        <f t="shared" ref="Q68:Q129" si="4" xml:space="preserve"> (C68 / (881 - C68)) / (D68 / (1376 - D68))</f>
        <v>0.71037567357157028</v>
      </c>
      <c r="R68">
        <f t="shared" ref="R68:R129" si="5">SQRT(1/C68 + 1/(881 - C68) + 1/D68 + 1/(1376 - D68))</f>
        <v>9.0959078172447125E-2</v>
      </c>
      <c r="S68">
        <f t="shared" ref="S68:S129" si="6">EXP(LN((C68 / (881 - C68)) / (D68 / (1376 - D68))) - 1.96 * R68)</f>
        <v>0.59437721184629433</v>
      </c>
      <c r="T68" s="34">
        <f t="shared" ref="T68:T129" si="7">EXP(LN((C68 / (881 - C68)) / (D68 / (1376 - D68))) + 1.96 * R68)</f>
        <v>0.84901235704298872</v>
      </c>
    </row>
    <row r="69" spans="1:20">
      <c r="A69" s="20" t="s">
        <v>71</v>
      </c>
      <c r="B69" s="20" t="s">
        <v>460</v>
      </c>
      <c r="C69" s="18">
        <v>136</v>
      </c>
      <c r="D69" s="18">
        <v>213</v>
      </c>
      <c r="E69" s="19">
        <f>($C$69/881)*100</f>
        <v>15.43700340522134</v>
      </c>
      <c r="F69" s="19">
        <f>($D$69/1376)*100</f>
        <v>15.479651162790697</v>
      </c>
      <c r="G69" s="29">
        <f>($M$2 * ($C$69 + $D$69)) / $N$2</f>
        <v>130.77888094007562</v>
      </c>
      <c r="H69" s="29">
        <f>($L$2 * ($C$69 + $D$69)) / $N$2</f>
        <v>218.22111905992438</v>
      </c>
      <c r="I69" s="21">
        <f>CHITEST($C$69:$D$69,$G$69:$H$69)</f>
        <v>0.56368513753422633</v>
      </c>
      <c r="J69" s="18">
        <f>SUM($C$69,$D$69)</f>
        <v>349</v>
      </c>
      <c r="K69" s="19">
        <f>($J$69/2257*100)</f>
        <v>15.463003987594151</v>
      </c>
      <c r="O69" s="19">
        <f>(($C$69 - $G$69)^2 / $G$69) + (($D$69 - $H$69)^2 / $H$69)</f>
        <v>0.33336363660210416</v>
      </c>
      <c r="P69" s="19">
        <f>SQRT($O$69 / $J$69)</f>
        <v>3.0906256105870764E-2</v>
      </c>
      <c r="Q69">
        <f t="shared" si="4"/>
        <v>0.99674197309134449</v>
      </c>
      <c r="R69">
        <f t="shared" si="5"/>
        <v>0.11937296161306955</v>
      </c>
      <c r="S69">
        <f t="shared" si="6"/>
        <v>0.7888064091032031</v>
      </c>
      <c r="T69" s="34">
        <f t="shared" si="7"/>
        <v>1.2594909846784006</v>
      </c>
    </row>
    <row r="70" spans="1:20">
      <c r="A70" s="17"/>
      <c r="B70" s="20"/>
      <c r="I70" s="21"/>
      <c r="O70" s="19"/>
      <c r="P70" s="19"/>
      <c r="R70"/>
      <c r="S70"/>
      <c r="T70" s="34"/>
    </row>
    <row r="71" spans="1:20">
      <c r="A71" s="17" t="s">
        <v>48</v>
      </c>
      <c r="B71" s="20"/>
      <c r="I71" s="21"/>
      <c r="O71" s="19"/>
      <c r="P71" s="19"/>
      <c r="R71"/>
      <c r="S71"/>
      <c r="T71" s="34"/>
    </row>
    <row r="72" spans="1:20">
      <c r="A72" s="20" t="s">
        <v>72</v>
      </c>
      <c r="B72" s="20" t="s">
        <v>366</v>
      </c>
      <c r="C72" s="18">
        <v>707</v>
      </c>
      <c r="D72" s="18">
        <v>1133</v>
      </c>
      <c r="E72" s="19">
        <f>($C$72/881)*100</f>
        <v>80.249716231555041</v>
      </c>
      <c r="F72" s="19">
        <f>($D$72/1376)*100</f>
        <v>82.340116279069761</v>
      </c>
      <c r="G72" s="29">
        <f>($M$2 * ($C$72 + $D$72)) / $N$2</f>
        <v>689.49324048635856</v>
      </c>
      <c r="H72" s="29">
        <f>($L$2 * ($C$72 + $D$72)) / $N$2</f>
        <v>1150.5067595136413</v>
      </c>
      <c r="I72" s="21">
        <f>CHITEST($C$72:$D$72,$G$72:$H$72)</f>
        <v>0.39914429810609753</v>
      </c>
      <c r="J72" s="18">
        <f>SUM($C$72,$D$72)</f>
        <v>1840</v>
      </c>
      <c r="K72" s="19">
        <f>($J$72/2257*100)</f>
        <v>81.524147097917592</v>
      </c>
      <c r="O72" s="19">
        <f>(($C$72 - $G$72)^2 / $G$72) + (($D$72 - $H$72)^2 / $H$72)</f>
        <v>0.71090270623812213</v>
      </c>
      <c r="P72" s="19">
        <f>SQRT($O$72 / $J$72)</f>
        <v>1.9656046561650237E-2</v>
      </c>
      <c r="Q72">
        <f t="shared" si="4"/>
        <v>0.87145813677450767</v>
      </c>
      <c r="R72">
        <f t="shared" si="5"/>
        <v>0.11026963527793839</v>
      </c>
      <c r="S72">
        <f t="shared" si="6"/>
        <v>0.70207437298134201</v>
      </c>
      <c r="T72" s="34">
        <f t="shared" si="7"/>
        <v>1.081707741197782</v>
      </c>
    </row>
    <row r="73" spans="1:20">
      <c r="A73" s="20" t="s">
        <v>73</v>
      </c>
      <c r="B73" s="20" t="s">
        <v>461</v>
      </c>
      <c r="C73" s="18">
        <v>472</v>
      </c>
      <c r="D73" s="18">
        <v>816</v>
      </c>
      <c r="E73" s="19">
        <f>($C$73/881)*100</f>
        <v>53.575482406356414</v>
      </c>
      <c r="F73" s="19">
        <f>($D$73/1376)*100</f>
        <v>59.302325581395351</v>
      </c>
      <c r="G73" s="29">
        <f>($M$2 * ($C$73 + $D$73)) / $N$2</f>
        <v>482.64526834045103</v>
      </c>
      <c r="H73" s="29">
        <f>($L$2 * ($C$73 + $D$73)) / $N$2</f>
        <v>805.35473165954897</v>
      </c>
      <c r="I73" s="21">
        <f>CHITEST($C$73:$D$73,$G$73:$H$73)</f>
        <v>0.54001964386500956</v>
      </c>
      <c r="J73" s="18">
        <f>SUM($C$73,$D$73)</f>
        <v>1288</v>
      </c>
      <c r="K73" s="19">
        <f>($J$73/2257*100)</f>
        <v>57.066902968542308</v>
      </c>
      <c r="O73" s="19">
        <f>(($C$73 - $G$73)^2 / $G$73) + (($D$73 - $H$73)^2 / $H$73)</f>
        <v>0.37550335555484288</v>
      </c>
      <c r="P73" s="19">
        <f>SQRT($O$73 / $J$73)</f>
        <v>1.7074538714858114E-2</v>
      </c>
      <c r="Q73">
        <f t="shared" si="4"/>
        <v>0.79198427537274085</v>
      </c>
      <c r="R73">
        <f t="shared" si="5"/>
        <v>8.7033535632251843E-2</v>
      </c>
      <c r="S73">
        <f t="shared" si="6"/>
        <v>0.66777801634659428</v>
      </c>
      <c r="T73" s="34">
        <f t="shared" si="7"/>
        <v>0.93929281450339319</v>
      </c>
    </row>
    <row r="74" spans="1:20">
      <c r="A74" s="20" t="s">
        <v>74</v>
      </c>
      <c r="B74" s="20" t="s">
        <v>367</v>
      </c>
      <c r="C74" s="18">
        <v>694</v>
      </c>
      <c r="D74" s="18">
        <v>1125</v>
      </c>
      <c r="E74" s="19">
        <f>($C$74/881)*100</f>
        <v>78.77412031782066</v>
      </c>
      <c r="F74" s="19">
        <f>($D$74/1376)*100</f>
        <v>81.758720930232556</v>
      </c>
      <c r="G74" s="29">
        <f>($M$2 * ($C$74 + $D$74)) / $N$2</f>
        <v>681.62402415472081</v>
      </c>
      <c r="H74" s="29">
        <f>($L$2 * ($C$74 + $D$74)) / $N$2</f>
        <v>1137.3759758452793</v>
      </c>
      <c r="I74" s="21">
        <f>CHITEST($C$74:$D$74,$G$74:$H$74)</f>
        <v>0.54885594045414487</v>
      </c>
      <c r="J74" s="18">
        <f>SUM($C$74,$D$74)</f>
        <v>1819</v>
      </c>
      <c r="K74" s="19">
        <f>($J$74/2257*100)</f>
        <v>80.593708462560926</v>
      </c>
      <c r="O74" s="19">
        <f>(($C$74 - $G$74)^2 / $G$74) + (($D$74 - $H$74)^2 / $H$74)</f>
        <v>0.35937070001472038</v>
      </c>
      <c r="P74" s="19">
        <f>SQRT($O$74 / $J$74)</f>
        <v>1.4055781044351508E-2</v>
      </c>
      <c r="Q74">
        <f t="shared" si="4"/>
        <v>0.82801663695781358</v>
      </c>
      <c r="R74">
        <f t="shared" si="5"/>
        <v>0.10798827902600466</v>
      </c>
      <c r="S74">
        <f t="shared" si="6"/>
        <v>0.67006600351147594</v>
      </c>
      <c r="T74" s="34">
        <f t="shared" si="7"/>
        <v>1.0232000243050468</v>
      </c>
    </row>
    <row r="75" spans="1:20">
      <c r="A75" s="20" t="s">
        <v>75</v>
      </c>
      <c r="B75" s="20" t="s">
        <v>368</v>
      </c>
      <c r="C75" s="18">
        <v>519</v>
      </c>
      <c r="D75" s="18">
        <v>863</v>
      </c>
      <c r="E75" s="19">
        <f>($C$75/881)*100</f>
        <v>58.910329171396135</v>
      </c>
      <c r="F75" s="19">
        <f>($D$75/1376)*100</f>
        <v>62.718023255813947</v>
      </c>
      <c r="G75" s="29">
        <f>($M$2 * ($C$75 + $D$75)) / $N$2</f>
        <v>517.86937953921063</v>
      </c>
      <c r="H75" s="29">
        <f>($L$2 * ($C$75 + $D$75)) / $N$2</f>
        <v>864.13062046078937</v>
      </c>
      <c r="I75" s="21">
        <f>CHITEST($C$75:$D$75,$G$75:$H$75)</f>
        <v>0.9499014170040524</v>
      </c>
      <c r="J75" s="18">
        <f>SUM($C$75,$D$75)</f>
        <v>1382</v>
      </c>
      <c r="K75" s="19">
        <f>($J$75/2257*100)</f>
        <v>61.231723526805496</v>
      </c>
      <c r="O75" s="19">
        <f>(($C$75 - $G$75)^2 / $G$75) + (($D$75 - $H$75)^2 / $H$75)</f>
        <v>3.9476814117096679E-3</v>
      </c>
      <c r="P75" s="19">
        <f>SQRT($O$75 / $J$75)</f>
        <v>1.6901179990552685E-3</v>
      </c>
      <c r="Q75">
        <f t="shared" si="4"/>
        <v>0.85224675582415188</v>
      </c>
      <c r="R75">
        <f t="shared" si="5"/>
        <v>8.8302205539756123E-2</v>
      </c>
      <c r="S75">
        <f t="shared" si="6"/>
        <v>0.7168049601949974</v>
      </c>
      <c r="T75" s="34">
        <f t="shared" si="7"/>
        <v>1.0132805618633058</v>
      </c>
    </row>
    <row r="76" spans="1:20">
      <c r="A76" s="20" t="s">
        <v>76</v>
      </c>
      <c r="B76" s="20" t="s">
        <v>462</v>
      </c>
      <c r="C76" s="18">
        <v>357</v>
      </c>
      <c r="D76" s="18">
        <v>634</v>
      </c>
      <c r="E76" s="19">
        <f>($C$76/881)*100</f>
        <v>40.52213393870602</v>
      </c>
      <c r="F76" s="19">
        <f>($D$76/1376)*100</f>
        <v>46.075581395348834</v>
      </c>
      <c r="G76" s="29">
        <f>($M$2 * ($C$76 + $D$76)) / $N$2</f>
        <v>371.3520659358594</v>
      </c>
      <c r="H76" s="29">
        <f>($L$2 * ($C$76 + $D$76)) / $N$2</f>
        <v>619.6479340641406</v>
      </c>
      <c r="I76" s="21">
        <f>CHITEST($C$76:$D$76,$G$76:$H$76)</f>
        <v>0.34626491037069229</v>
      </c>
      <c r="J76" s="18">
        <f>SUM($C$76,$D$76)</f>
        <v>991</v>
      </c>
      <c r="K76" s="19">
        <f>($J$76/2257*100)</f>
        <v>43.907842268498001</v>
      </c>
      <c r="O76" s="19">
        <f>(($C$76 - $G$76)^2 / $G$76) + (($D$76 - $H$76)^2 / $H$76)</f>
        <v>0.88709809353834401</v>
      </c>
      <c r="P76" s="19">
        <f>SQRT($O$76 / $J$76)</f>
        <v>2.9919132405425538E-2</v>
      </c>
      <c r="Q76">
        <f t="shared" si="4"/>
        <v>0.79735473306523463</v>
      </c>
      <c r="R76">
        <f t="shared" si="5"/>
        <v>8.7375702319746312E-2</v>
      </c>
      <c r="S76">
        <f t="shared" si="6"/>
        <v>0.67185550066188171</v>
      </c>
      <c r="T76" s="34">
        <f t="shared" si="7"/>
        <v>0.94629659162601953</v>
      </c>
    </row>
    <row r="77" spans="1:20">
      <c r="A77" s="20"/>
      <c r="B77" s="20"/>
      <c r="I77" s="21"/>
      <c r="O77" s="19"/>
      <c r="P77" s="19"/>
      <c r="R77"/>
      <c r="S77"/>
      <c r="T77" s="34"/>
    </row>
    <row r="78" spans="1:20">
      <c r="A78" s="16" t="s">
        <v>49</v>
      </c>
      <c r="B78" s="20"/>
      <c r="I78" s="21"/>
      <c r="O78" s="19"/>
      <c r="P78" s="19"/>
      <c r="R78"/>
      <c r="S78"/>
      <c r="T78" s="34"/>
    </row>
    <row r="79" spans="1:20">
      <c r="A79" s="20" t="s">
        <v>77</v>
      </c>
      <c r="B79" s="20" t="s">
        <v>463</v>
      </c>
      <c r="C79" s="18">
        <v>431</v>
      </c>
      <c r="D79" s="18">
        <v>662</v>
      </c>
      <c r="E79" s="19">
        <f>($C$79/881)*100</f>
        <v>48.921679909194097</v>
      </c>
      <c r="F79" s="19">
        <f>($D$79/1376)*100</f>
        <v>48.110465116279073</v>
      </c>
      <c r="G79" s="29">
        <f>($M$2 * ($C$79 + $D$79)) / $N$2</f>
        <v>409.57397383238583</v>
      </c>
      <c r="H79" s="29">
        <f>($L$2 * ($C$79 + $D$79)) / $N$2</f>
        <v>683.42602616761417</v>
      </c>
      <c r="I79" s="21">
        <f>CHITEST($C$79:$D$79,$G$79:$H$79)</f>
        <v>0.18061162355135085</v>
      </c>
      <c r="J79" s="18">
        <f>SUM($C$79,$D$79)</f>
        <v>1093</v>
      </c>
      <c r="K79" s="19">
        <f>($J$79/2257*100)</f>
        <v>48.427115640230397</v>
      </c>
      <c r="O79" s="19">
        <f>(($C$79 - $G$79)^2 / $G$79) + (($D$79 - $H$79)^2 / $H$79)</f>
        <v>1.7925841766911077</v>
      </c>
      <c r="P79" s="19">
        <f>SQRT($O$79 / $J$79)</f>
        <v>4.0497638401446753E-2</v>
      </c>
      <c r="Q79">
        <f t="shared" si="4"/>
        <v>1.0330110775427994</v>
      </c>
      <c r="R79">
        <f t="shared" si="5"/>
        <v>8.6333898784243107E-2</v>
      </c>
      <c r="S79">
        <f t="shared" si="6"/>
        <v>0.87219999624806843</v>
      </c>
      <c r="T79" s="34">
        <f t="shared" si="7"/>
        <v>1.2234715557401021</v>
      </c>
    </row>
    <row r="80" spans="1:20">
      <c r="A80" s="20" t="s">
        <v>78</v>
      </c>
      <c r="B80" s="20" t="s">
        <v>464</v>
      </c>
      <c r="C80" s="18">
        <v>314</v>
      </c>
      <c r="D80" s="18">
        <v>627</v>
      </c>
      <c r="E80" s="19">
        <f>($C$80/881)*100</f>
        <v>35.641316685584563</v>
      </c>
      <c r="F80" s="19">
        <f>($D$80/1376)*100</f>
        <v>45.566860465116278</v>
      </c>
      <c r="G80" s="29">
        <f>($M$2 * ($C$80 + $D$80)) / $N$2</f>
        <v>352.61583657481708</v>
      </c>
      <c r="H80" s="29">
        <f>($L$2 * ($C$80 + $D$80)) / $N$2</f>
        <v>588.38416342518292</v>
      </c>
      <c r="I80" s="21">
        <f>CHITEST($C$80:$D$80,$G$80:$H$80)</f>
        <v>9.3052272354263894E-3</v>
      </c>
      <c r="J80" s="18">
        <f>SUM($C$80,$D$80)</f>
        <v>941</v>
      </c>
      <c r="K80" s="19">
        <f>($J$80/2257*100)</f>
        <v>41.692512184315461</v>
      </c>
      <c r="O80" s="19">
        <f>(($C$80 - $G$80)^2 / $G$80) + (($D$80 - $H$80)^2 / $H$80)</f>
        <v>6.7632856560969428</v>
      </c>
      <c r="P80" s="19">
        <f>SQRT($O$80 / $J$80)</f>
        <v>8.477817310839611E-2</v>
      </c>
      <c r="Q80">
        <f t="shared" si="4"/>
        <v>0.6615472463425679</v>
      </c>
      <c r="R80">
        <f t="shared" si="5"/>
        <v>8.8760304317391264E-2</v>
      </c>
      <c r="S80">
        <f t="shared" si="6"/>
        <v>0.55591266667348305</v>
      </c>
      <c r="T80" s="34">
        <f t="shared" si="7"/>
        <v>0.78725451924355272</v>
      </c>
    </row>
    <row r="81" spans="1:20">
      <c r="A81" s="20" t="s">
        <v>79</v>
      </c>
      <c r="B81" s="20" t="s">
        <v>369</v>
      </c>
      <c r="C81" s="18">
        <v>462</v>
      </c>
      <c r="D81" s="18">
        <v>669</v>
      </c>
      <c r="E81" s="19">
        <f>($C$81/881)*100</f>
        <v>52.440408626560732</v>
      </c>
      <c r="F81" s="19">
        <f>($D$81/1376)*100</f>
        <v>48.619186046511622</v>
      </c>
      <c r="G81" s="29">
        <f>($M$2 * ($C$81 + $D$81)) / $N$2</f>
        <v>423.81350814677802</v>
      </c>
      <c r="H81" s="29">
        <f>($L$2 * ($C$81 + $D$81)) / $N$2</f>
        <v>707.18649185322204</v>
      </c>
      <c r="I81" s="21">
        <f>CHITEST($C$81:$D$81,$G$81:$H$81)</f>
        <v>1.8987473494354489E-2</v>
      </c>
      <c r="J81" s="18">
        <f>SUM($C$81,$D$81)</f>
        <v>1131</v>
      </c>
      <c r="K81" s="19">
        <f>($J$81/2257*100)</f>
        <v>50.110766504209124</v>
      </c>
      <c r="O81" s="19">
        <f>(($C$81 - $G$81)^2 / $G$81) + (($D$81 - $H$81)^2 / $H$81)</f>
        <v>5.5026688499972956</v>
      </c>
      <c r="P81" s="19">
        <f>SQRT($O$81 / $J$81)</f>
        <v>6.9751794706079742E-2</v>
      </c>
      <c r="Q81">
        <f t="shared" si="4"/>
        <v>1.1652557338099467</v>
      </c>
      <c r="R81">
        <f t="shared" si="5"/>
        <v>8.637321620319649E-2</v>
      </c>
      <c r="S81">
        <f t="shared" si="6"/>
        <v>0.9837820239646019</v>
      </c>
      <c r="T81" s="34">
        <f t="shared" si="7"/>
        <v>1.380205057727111</v>
      </c>
    </row>
    <row r="82" spans="1:20">
      <c r="A82" s="20" t="s">
        <v>80</v>
      </c>
      <c r="B82" s="20" t="s">
        <v>370</v>
      </c>
      <c r="C82" s="18">
        <v>307</v>
      </c>
      <c r="D82" s="18">
        <v>508</v>
      </c>
      <c r="E82" s="19">
        <f>($C$82/881)*100</f>
        <v>34.846765039727586</v>
      </c>
      <c r="F82" s="19">
        <f>($D$82/1376)*100</f>
        <v>36.918604651162788</v>
      </c>
      <c r="G82" s="29">
        <f>($M$2 * ($C$82 + $D$82)) / $N$2</f>
        <v>305.40053858499033</v>
      </c>
      <c r="H82" s="29">
        <f>($L$2 * ($C$82 + $D$82)) / $N$2</f>
        <v>509.59946141500967</v>
      </c>
      <c r="I82" s="21">
        <f>CHITEST($C$82:$D$82,$G$82:$H$82)</f>
        <v>0.90785443967993862</v>
      </c>
      <c r="J82" s="18">
        <f>SUM($C$82,$D$82)</f>
        <v>815</v>
      </c>
      <c r="K82" s="19">
        <f>($J$82/2257*100)</f>
        <v>36.109880372175454</v>
      </c>
      <c r="O82" s="19">
        <f>(($C$82 - $G$82)^2 / $G$82) + (($D$82 - $H$82)^2 / $H$82)</f>
        <v>1.3396963843477171E-2</v>
      </c>
      <c r="P82" s="19">
        <f>SQRT($O$82 / $J$82)</f>
        <v>4.0543794156423325E-3</v>
      </c>
      <c r="Q82">
        <f t="shared" si="4"/>
        <v>0.91386594968311896</v>
      </c>
      <c r="R82">
        <f t="shared" si="5"/>
        <v>9.011141403118933E-2</v>
      </c>
      <c r="S82">
        <f t="shared" si="6"/>
        <v>0.76591065597569341</v>
      </c>
      <c r="T82" s="34">
        <f t="shared" si="7"/>
        <v>1.0904026043694748</v>
      </c>
    </row>
    <row r="83" spans="1:20">
      <c r="A83" s="20" t="s">
        <v>81</v>
      </c>
      <c r="B83" s="20" t="s">
        <v>371</v>
      </c>
      <c r="C83" s="18">
        <v>288</v>
      </c>
      <c r="D83" s="18">
        <v>520</v>
      </c>
      <c r="E83" s="19">
        <f>($C$83/881)*100</f>
        <v>32.69012485811578</v>
      </c>
      <c r="F83" s="19">
        <f>($D$83/1376)*100</f>
        <v>37.790697674418603</v>
      </c>
      <c r="G83" s="29">
        <f>($M$2 * ($C$83 + $D$83)) / $N$2</f>
        <v>302.7774664744444</v>
      </c>
      <c r="H83" s="29">
        <f>($L$2 * ($C$83 + $D$83)) / $N$2</f>
        <v>505.2225335255556</v>
      </c>
      <c r="I83" s="21">
        <f>CHITEST($C$83:$D$83,$G$83:$H$83)</f>
        <v>0.28282462091912081</v>
      </c>
      <c r="J83" s="18">
        <f>SUM($C$83,$D$83)</f>
        <v>808</v>
      </c>
      <c r="K83" s="19">
        <f>($J$83/2257*100)</f>
        <v>35.799734160389896</v>
      </c>
      <c r="O83" s="19">
        <f>(($C$83 - $G$83)^2 / $G$83) + (($D$83 - $H$83)^2 / $H$83)</f>
        <v>1.1534667054828054</v>
      </c>
      <c r="P83" s="19">
        <f>SQRT($O$83 / $J$83)</f>
        <v>3.7783035926396293E-2</v>
      </c>
      <c r="Q83">
        <f t="shared" si="4"/>
        <v>0.79948112595667398</v>
      </c>
      <c r="R83">
        <f t="shared" si="5"/>
        <v>9.0828762433350418E-2</v>
      </c>
      <c r="S83">
        <f t="shared" si="6"/>
        <v>0.66910336192045761</v>
      </c>
      <c r="T83" s="34">
        <f t="shared" si="7"/>
        <v>0.95526357680584351</v>
      </c>
    </row>
    <row r="84" spans="1:20">
      <c r="A84" s="20" t="s">
        <v>82</v>
      </c>
      <c r="B84" s="20" t="s">
        <v>372</v>
      </c>
      <c r="C84" s="18">
        <v>172</v>
      </c>
      <c r="D84" s="18">
        <v>412</v>
      </c>
      <c r="E84" s="19">
        <f>($C$84/881)*100</f>
        <v>19.523269012485812</v>
      </c>
      <c r="F84" s="19">
        <f>($D$84/1376)*100</f>
        <v>29.941860465116278</v>
      </c>
      <c r="G84" s="29">
        <f>($M$2 * ($C$84 + $D$84)) / $N$2</f>
        <v>218.83915893697468</v>
      </c>
      <c r="H84" s="29">
        <f>($L$2 * ($C$84 + $D$84)) / $N$2</f>
        <v>365.16084106302532</v>
      </c>
      <c r="I84" s="21">
        <f>CHITEST($C$84:$D$84,$G$84:$H$84)</f>
        <v>6.223951634228349E-5</v>
      </c>
      <c r="J84" s="18">
        <f>SUM($C$84,$D$84)</f>
        <v>584</v>
      </c>
      <c r="K84" s="19">
        <f>($J$84/2257*100)</f>
        <v>25.875055383252104</v>
      </c>
      <c r="O84" s="19">
        <f>(($C$84 - $G$84)^2 / $G$84) + (($D$84 - $H$84)^2 / $H$84)</f>
        <v>16.03325824098042</v>
      </c>
      <c r="P84" s="19">
        <f>SQRT($O$84 / $J$84)</f>
        <v>0.16569311789192481</v>
      </c>
      <c r="Q84">
        <f t="shared" si="4"/>
        <v>0.56762567269639996</v>
      </c>
      <c r="R84">
        <f t="shared" si="5"/>
        <v>0.10338723126322118</v>
      </c>
      <c r="S84">
        <f t="shared" si="6"/>
        <v>0.46350779439400824</v>
      </c>
      <c r="T84" s="34">
        <f t="shared" si="7"/>
        <v>0.69513157750730947</v>
      </c>
    </row>
    <row r="85" spans="1:20">
      <c r="A85" s="20" t="s">
        <v>83</v>
      </c>
      <c r="B85" s="20" t="s">
        <v>496</v>
      </c>
      <c r="C85" s="18">
        <v>295</v>
      </c>
      <c r="D85" s="18">
        <v>470</v>
      </c>
      <c r="E85" s="19">
        <f>($C$85/881)*100</f>
        <v>33.484676503972757</v>
      </c>
      <c r="F85" s="19">
        <f>($D$85/1376)*100</f>
        <v>34.156976744186046</v>
      </c>
      <c r="G85" s="29">
        <f>($M$2 * ($C$85 + $D$85)) / $N$2</f>
        <v>286.66430922394801</v>
      </c>
      <c r="H85" s="29">
        <f>($L$2 * ($C$85 + $D$85)) / $N$2</f>
        <v>478.33569077605199</v>
      </c>
      <c r="I85" s="21">
        <f>CHITEST($C$85:$D$85,$G$85:$H$85)</f>
        <v>0.53353799670431634</v>
      </c>
      <c r="J85" s="18">
        <f>SUM($C$85,$D$85)</f>
        <v>765</v>
      </c>
      <c r="K85" s="19">
        <f>($J$85/2257*100)</f>
        <v>33.894550287992907</v>
      </c>
      <c r="O85" s="19">
        <f>(($C$85 - $G$85)^2 / $G$85) + (($D$85 - $H$85)^2 / $H$85)</f>
        <v>0.38764859512388317</v>
      </c>
      <c r="P85" s="19">
        <f>SQRT($O$85 / $J$85)</f>
        <v>2.2510668353125866E-2</v>
      </c>
      <c r="Q85">
        <f t="shared" si="4"/>
        <v>0.97040883015031598</v>
      </c>
      <c r="R85">
        <f t="shared" si="5"/>
        <v>9.1256383250503545E-2</v>
      </c>
      <c r="S85">
        <f t="shared" si="6"/>
        <v>0.81147610894625888</v>
      </c>
      <c r="T85" s="34">
        <f t="shared" si="7"/>
        <v>1.1604695286180875</v>
      </c>
    </row>
    <row r="86" spans="1:20">
      <c r="A86" s="20" t="s">
        <v>84</v>
      </c>
      <c r="B86" s="20" t="s">
        <v>497</v>
      </c>
      <c r="C86" s="18">
        <v>239</v>
      </c>
      <c r="D86" s="18">
        <v>292</v>
      </c>
      <c r="E86" s="19">
        <f>($C$86/881)*100</f>
        <v>27.128263337116916</v>
      </c>
      <c r="F86" s="19">
        <f>($D$86/1376)*100</f>
        <v>21.220930232558139</v>
      </c>
      <c r="G86" s="29">
        <f>($M$2 * ($C$86 + $D$86)) / $N$2</f>
        <v>198.97875581426979</v>
      </c>
      <c r="H86" s="29">
        <f>($L$2 * ($C$86 + $D$86)) / $N$2</f>
        <v>332.02124418573021</v>
      </c>
      <c r="I86" s="21">
        <f>CHITEST($C$86:$D$86,$G$86:$H$86)</f>
        <v>3.3323357690532001E-4</v>
      </c>
      <c r="J86" s="18">
        <f>SUM($C$86,$D$86)</f>
        <v>531</v>
      </c>
      <c r="K86" s="19">
        <f>($J$86/2257*100)</f>
        <v>23.52680549401861</v>
      </c>
      <c r="O86" s="19">
        <f>(($C$86 - $G$86)^2 / $G$86) + (($D$86 - $H$86)^2 / $H$86)</f>
        <v>12.873691844535692</v>
      </c>
      <c r="P86" s="19">
        <f>SQRT($O$86 / $J$86)</f>
        <v>0.15570562212661898</v>
      </c>
      <c r="Q86">
        <f t="shared" si="4"/>
        <v>1.3820040114368624</v>
      </c>
      <c r="R86">
        <f t="shared" si="5"/>
        <v>0.10044351435758689</v>
      </c>
      <c r="S86">
        <f t="shared" si="6"/>
        <v>1.1350371025063537</v>
      </c>
      <c r="T86" s="34">
        <f t="shared" si="7"/>
        <v>1.6827071849987283</v>
      </c>
    </row>
    <row r="87" spans="1:20">
      <c r="B87" s="20"/>
      <c r="O87" s="19"/>
      <c r="P87" s="19"/>
      <c r="R87"/>
      <c r="S87"/>
      <c r="T87" s="34"/>
    </row>
    <row r="88" spans="1:20">
      <c r="A88" s="16" t="s">
        <v>50</v>
      </c>
      <c r="B88" s="20"/>
      <c r="I88" s="21"/>
      <c r="O88" s="19"/>
      <c r="P88" s="19"/>
      <c r="R88"/>
      <c r="S88"/>
      <c r="T88" s="34"/>
    </row>
    <row r="89" spans="1:20">
      <c r="A89" s="20" t="s">
        <v>85</v>
      </c>
      <c r="B89" s="20" t="s">
        <v>465</v>
      </c>
      <c r="C89" s="18">
        <v>558</v>
      </c>
      <c r="D89" s="18">
        <v>782</v>
      </c>
      <c r="E89" s="19">
        <f>($C$89/881)*100</f>
        <v>63.337116912599321</v>
      </c>
      <c r="F89" s="19">
        <f>($D$89/1376)*100</f>
        <v>56.831395348837212</v>
      </c>
      <c r="G89" s="29">
        <f>($M$2 * ($C$89 + $D$89)) / $N$2</f>
        <v>502.13094687593502</v>
      </c>
      <c r="H89" s="29">
        <f>($L$2 * ($C$89 + $D$89)) / $N$2</f>
        <v>837.86905312406498</v>
      </c>
      <c r="I89" s="21">
        <f>CHITEST($C$89:$D$89,$G$89:$H$89)</f>
        <v>1.6158906554441675E-3</v>
      </c>
      <c r="J89" s="18">
        <f>SUM($C$89,$D$89)</f>
        <v>1340</v>
      </c>
      <c r="K89" s="19">
        <f>($J$89/2257*100)</f>
        <v>59.370846256092157</v>
      </c>
      <c r="O89" s="19">
        <f>(($C$89 - $G$89)^2 / $G$89) + (($D$89 - $H$89)^2 / $H$89)</f>
        <v>9.9415541424464617</v>
      </c>
      <c r="P89" s="19">
        <f>SQRT($O$89 / $J$89)</f>
        <v>8.6134024958532271E-2</v>
      </c>
      <c r="Q89">
        <f t="shared" si="4"/>
        <v>1.3122342489290777</v>
      </c>
      <c r="R89">
        <f t="shared" si="5"/>
        <v>8.8602279821441129E-2</v>
      </c>
      <c r="S89">
        <f t="shared" si="6"/>
        <v>1.1030408219632124</v>
      </c>
      <c r="T89" s="34">
        <f t="shared" si="7"/>
        <v>1.5611015383797733</v>
      </c>
    </row>
    <row r="90" spans="1:20">
      <c r="A90" s="20" t="s">
        <v>86</v>
      </c>
      <c r="B90" s="20" t="s">
        <v>466</v>
      </c>
      <c r="C90" s="18">
        <v>542</v>
      </c>
      <c r="D90" s="18">
        <v>703</v>
      </c>
      <c r="E90" s="19">
        <f>($C$90/881)*100</f>
        <v>61.520998864926227</v>
      </c>
      <c r="F90" s="19">
        <f>($D$90/1376)*100</f>
        <v>51.090116279069761</v>
      </c>
      <c r="G90" s="29">
        <f>($M$2 * ($C$90 + $D$90)) / $N$2</f>
        <v>466.53211108995458</v>
      </c>
      <c r="H90" s="29">
        <f>($L$2 * ($C$90 + $D$90)) / $N$2</f>
        <v>778.46788891004542</v>
      </c>
      <c r="I90" s="21">
        <f>CHITEST($C$90:$D$90,$G$90:$H$90)</f>
        <v>9.9337325055728314E-6</v>
      </c>
      <c r="J90" s="18">
        <f>SUM($C$90,$D$90)</f>
        <v>1245</v>
      </c>
      <c r="K90" s="19">
        <f>($J$90/2257*100)</f>
        <v>55.161719096145326</v>
      </c>
      <c r="O90" s="19">
        <f>(($C$90 - $G$90)^2 / $G$90) + (($D$90 - $H$90)^2 / $H$90)</f>
        <v>19.524121879428613</v>
      </c>
      <c r="P90" s="19">
        <f>SQRT($O$90 / $J$90)</f>
        <v>0.12522789467992648</v>
      </c>
      <c r="Q90">
        <f t="shared" si="4"/>
        <v>1.5305916069772612</v>
      </c>
      <c r="R90">
        <f t="shared" si="5"/>
        <v>8.7768047518928458E-2</v>
      </c>
      <c r="S90">
        <f t="shared" si="6"/>
        <v>1.2886935570882248</v>
      </c>
      <c r="T90" s="34">
        <f t="shared" si="7"/>
        <v>1.8178958484455674</v>
      </c>
    </row>
    <row r="91" spans="1:20">
      <c r="A91" s="20" t="s">
        <v>87</v>
      </c>
      <c r="B91" s="20" t="s">
        <v>467</v>
      </c>
      <c r="C91" s="18">
        <v>449</v>
      </c>
      <c r="D91" s="18">
        <v>670</v>
      </c>
      <c r="E91" s="19">
        <f>($C$91/881)*100</f>
        <v>50.964812712826337</v>
      </c>
      <c r="F91" s="19">
        <f>($D$91/1376)*100</f>
        <v>48.691860465116278</v>
      </c>
      <c r="G91" s="29">
        <f>($M$2 * ($C$91 + $D$91)) / $N$2</f>
        <v>419.31681310012783</v>
      </c>
      <c r="H91" s="29">
        <f>($L$2 * ($C$91 + $D$91)) / $N$2</f>
        <v>699.68318689987211</v>
      </c>
      <c r="I91" s="21">
        <f>CHITEST($C$91:$D$91,$G$91:$H$91)</f>
        <v>6.6776684294020089E-2</v>
      </c>
      <c r="J91" s="18">
        <f>SUM($C$91,$D$91)</f>
        <v>1119</v>
      </c>
      <c r="K91" s="19">
        <f>($J$91/2257*100)</f>
        <v>49.579087284005318</v>
      </c>
      <c r="O91" s="19">
        <f>(($C$91 - $G$91)^2 / $G$91) + (($D$91 - $H$91)^2 / $H$91)</f>
        <v>3.3605272798930832</v>
      </c>
      <c r="P91" s="19">
        <f>SQRT($O$91 / $J$91)</f>
        <v>5.4801023452908458E-2</v>
      </c>
      <c r="Q91">
        <f t="shared" si="4"/>
        <v>1.0951976229961304</v>
      </c>
      <c r="R91">
        <f t="shared" si="5"/>
        <v>8.6318909952300724E-2</v>
      </c>
      <c r="S91">
        <f t="shared" si="6"/>
        <v>0.92473299342076964</v>
      </c>
      <c r="T91" s="34">
        <f t="shared" si="7"/>
        <v>1.2970855824872682</v>
      </c>
    </row>
    <row r="92" spans="1:20">
      <c r="A92" s="20" t="s">
        <v>88</v>
      </c>
      <c r="B92" s="20" t="s">
        <v>468</v>
      </c>
      <c r="C92" s="18">
        <v>288</v>
      </c>
      <c r="D92" s="18">
        <v>603</v>
      </c>
      <c r="E92" s="19">
        <f>($C$92/881)*100</f>
        <v>32.69012485811578</v>
      </c>
      <c r="F92" s="19">
        <f>($D$92/1376)*100</f>
        <v>43.822674418604649</v>
      </c>
      <c r="G92" s="29">
        <f>($M$2 * ($C$92 + $D$92)) / $N$2</f>
        <v>333.8796072137747</v>
      </c>
      <c r="H92" s="29">
        <f>($L$2 * ($C$92 + $D$92)) / $N$2</f>
        <v>557.12039278622524</v>
      </c>
      <c r="I92" s="21">
        <f>CHITEST($C$92:$D$92,$G$92:$H$92)</f>
        <v>1.4966542749357845E-3</v>
      </c>
      <c r="J92" s="18">
        <f>SUM($C$92,$D$92)</f>
        <v>891</v>
      </c>
      <c r="K92" s="19">
        <f>($J$92/2257*100)</f>
        <v>39.477182100132922</v>
      </c>
      <c r="O92" s="19">
        <f>(($C$92 - $G$92)^2 / $G$92) + (($D$92 - $H$92)^2 / $H$92)</f>
        <v>10.082729981056399</v>
      </c>
      <c r="P92" s="19">
        <f>SQRT($O$92 / $J$92)</f>
        <v>0.10637760697127112</v>
      </c>
      <c r="Q92">
        <f t="shared" si="4"/>
        <v>0.62258689688152824</v>
      </c>
      <c r="R92">
        <f t="shared" si="5"/>
        <v>9.0058862509676901E-2</v>
      </c>
      <c r="S92">
        <f t="shared" si="6"/>
        <v>0.52184355581619546</v>
      </c>
      <c r="T92" s="34">
        <f t="shared" si="7"/>
        <v>0.74277901844034044</v>
      </c>
    </row>
    <row r="93" spans="1:20">
      <c r="A93" s="20" t="s">
        <v>89</v>
      </c>
      <c r="B93" s="20" t="s">
        <v>373</v>
      </c>
      <c r="C93" s="18">
        <v>263</v>
      </c>
      <c r="D93" s="18">
        <v>422</v>
      </c>
      <c r="E93" s="19">
        <f>($C$93/881)*100</f>
        <v>29.852440408626563</v>
      </c>
      <c r="F93" s="19">
        <f>($D$93/1376)*100</f>
        <v>30.668604651162788</v>
      </c>
      <c r="G93" s="29">
        <f>($M$2 * ($C$93 + $D$93)) / $N$2</f>
        <v>256.68634224628022</v>
      </c>
      <c r="H93" s="29">
        <f>($L$2 * ($C$93 + $D$93)) / $N$2</f>
        <v>428.31365775371978</v>
      </c>
      <c r="I93" s="21">
        <f>CHITEST($C$93:$D$93,$G$93:$H$93)</f>
        <v>0.61822967573466259</v>
      </c>
      <c r="J93" s="18">
        <f>SUM($C$93,$D$93)</f>
        <v>685</v>
      </c>
      <c r="K93" s="19">
        <f>($J$93/2257*100)</f>
        <v>30.350022153300841</v>
      </c>
      <c r="O93" s="19">
        <f>(($C$93 - $G$93)^2 / $G$93) + (($D$93 - $H$93)^2 / $H$93)</f>
        <v>0.24836360761210408</v>
      </c>
      <c r="P93" s="19">
        <f>SQRT($O$93 / $J$93)</f>
        <v>1.9041392009322918E-2</v>
      </c>
      <c r="Q93">
        <f t="shared" si="4"/>
        <v>0.96206230156904249</v>
      </c>
      <c r="R93">
        <f t="shared" si="5"/>
        <v>9.4012183369833371E-2</v>
      </c>
      <c r="S93">
        <f t="shared" si="6"/>
        <v>0.80016289981631561</v>
      </c>
      <c r="T93" s="34">
        <f t="shared" si="7"/>
        <v>1.1567193034228336</v>
      </c>
    </row>
    <row r="94" spans="1:20">
      <c r="B94" s="20"/>
      <c r="I94" s="21"/>
      <c r="O94" s="19"/>
      <c r="P94" s="19"/>
      <c r="R94"/>
      <c r="S94"/>
      <c r="T94" s="34"/>
    </row>
    <row r="95" spans="1:20">
      <c r="A95" s="16" t="s">
        <v>51</v>
      </c>
      <c r="B95" s="20"/>
      <c r="I95" s="21"/>
      <c r="O95" s="19"/>
      <c r="P95" s="19"/>
      <c r="R95"/>
      <c r="S95"/>
      <c r="T95" s="34"/>
    </row>
    <row r="96" spans="1:20" ht="25.5">
      <c r="A96" s="32" t="s">
        <v>90</v>
      </c>
      <c r="B96" s="20" t="s">
        <v>374</v>
      </c>
      <c r="C96" s="18">
        <v>236</v>
      </c>
      <c r="D96" s="18">
        <v>338</v>
      </c>
      <c r="E96" s="19">
        <f>($C$96/881)*100</f>
        <v>26.787741203178207</v>
      </c>
      <c r="F96" s="19">
        <f>($D$96/1376)*100</f>
        <v>24.563953488372093</v>
      </c>
      <c r="G96" s="29">
        <f>($M$2 * ($C$96 + $D$96)) / $N$2</f>
        <v>215.0919130647662</v>
      </c>
      <c r="H96" s="29">
        <f>($L$2 * ($C$96 + $D$96)) / $N$2</f>
        <v>358.90808693523377</v>
      </c>
      <c r="I96" s="21">
        <f>CHITEST($C$96:$D$96,$G$96:$H$96)</f>
        <v>7.140721957770943E-2</v>
      </c>
      <c r="J96" s="18">
        <f>SUM($C$96,$D$96)</f>
        <v>574</v>
      </c>
      <c r="K96" s="19">
        <f>($J$96/2257*100)</f>
        <v>25.431989366415596</v>
      </c>
      <c r="O96" s="19">
        <f>(($C$96 - $G$96)^2 / $G$96) + (($D$96 - $H$96)^2 / $H$96)</f>
        <v>3.2503726916541353</v>
      </c>
      <c r="P96" s="19">
        <f>SQRT($O$96 / $J$96)</f>
        <v>7.525071557479969E-2</v>
      </c>
      <c r="Q96">
        <f t="shared" si="4"/>
        <v>1.1236548782165954</v>
      </c>
      <c r="R96">
        <f t="shared" si="5"/>
        <v>9.8537539805653718E-2</v>
      </c>
      <c r="S96">
        <f t="shared" si="6"/>
        <v>0.92630944939727289</v>
      </c>
      <c r="T96" s="34">
        <f t="shared" si="7"/>
        <v>1.3630437281639469</v>
      </c>
    </row>
    <row r="97" spans="1:20">
      <c r="A97" s="20" t="s">
        <v>91</v>
      </c>
      <c r="B97" s="20" t="s">
        <v>469</v>
      </c>
      <c r="C97" s="18">
        <v>82</v>
      </c>
      <c r="D97" s="18">
        <v>172</v>
      </c>
      <c r="E97" s="19">
        <f>($C$97/881)*100</f>
        <v>9.3076049943246311</v>
      </c>
      <c r="F97" s="19">
        <f>($D$97/1376)*100</f>
        <v>12.5</v>
      </c>
      <c r="G97" s="29">
        <f>($M$2 * ($C$97 + $D$97)) / $N$2</f>
        <v>95.180045154095154</v>
      </c>
      <c r="H97" s="29">
        <f>($L$2 * ($C$97 + $D$97)) / $N$2</f>
        <v>158.81995484590485</v>
      </c>
      <c r="I97" s="21">
        <f>CHITEST($C$97:$D$97,$G$97:$H$97)</f>
        <v>8.7548503213396606E-2</v>
      </c>
      <c r="J97" s="18">
        <f>SUM($C$97,$D$97)</f>
        <v>254</v>
      </c>
      <c r="K97" s="19">
        <f>($J$97/2257*100)</f>
        <v>11.25387682764732</v>
      </c>
      <c r="O97" s="19">
        <f>(($C$97 - $G$97)^2 / $G$97) + (($D$97 - $H$97)^2 / $H$97)</f>
        <v>2.9188819987084873</v>
      </c>
      <c r="P97" s="19">
        <f>SQRT($O$97 / $J$97)</f>
        <v>0.10719916703145664</v>
      </c>
      <c r="Q97">
        <f t="shared" si="4"/>
        <v>0.71839799749687105</v>
      </c>
      <c r="R97">
        <f t="shared" si="5"/>
        <v>0.1417434466887772</v>
      </c>
      <c r="S97">
        <f t="shared" si="6"/>
        <v>0.54414000399284168</v>
      </c>
      <c r="T97" s="34">
        <f t="shared" si="7"/>
        <v>0.94846120303682679</v>
      </c>
    </row>
    <row r="98" spans="1:20">
      <c r="A98" s="20" t="s">
        <v>92</v>
      </c>
      <c r="B98" s="20" t="s">
        <v>470</v>
      </c>
      <c r="C98" s="18">
        <v>394</v>
      </c>
      <c r="D98" s="18">
        <v>559</v>
      </c>
      <c r="E98" s="19">
        <f>($C$98/881)*100</f>
        <v>44.721906923950058</v>
      </c>
      <c r="F98" s="19">
        <f>($D$98/1376)*100</f>
        <v>40.625</v>
      </c>
      <c r="G98" s="29">
        <f>($M$2 * ($C$98 + $D$98)) / $N$2</f>
        <v>357.11253162146721</v>
      </c>
      <c r="H98" s="29">
        <f>($L$2 * ($C$98 + $D$98)) / $N$2</f>
        <v>595.88746837853273</v>
      </c>
      <c r="I98" s="21">
        <f>CHITEST($C$98:$D$98,$G$98:$H$98)</f>
        <v>1.3566449706053137E-2</v>
      </c>
      <c r="J98" s="18">
        <f>SUM($C$98,$D$98)</f>
        <v>953</v>
      </c>
      <c r="K98" s="19">
        <f>($J$98/2257*100)</f>
        <v>42.224191404519274</v>
      </c>
      <c r="O98" s="19">
        <f>(($C$98 - $G$98)^2 / $G$98) + (($D$98 - $H$98)^2 / $H$98)</f>
        <v>6.0937026481962464</v>
      </c>
      <c r="P98" s="19">
        <f>SQRT($O$98 / $J$98)</f>
        <v>7.9963938935694548E-2</v>
      </c>
      <c r="Q98">
        <f t="shared" si="4"/>
        <v>1.1824356341810141</v>
      </c>
      <c r="R98">
        <f t="shared" si="5"/>
        <v>8.7202970878693178E-2</v>
      </c>
      <c r="S98">
        <f t="shared" si="6"/>
        <v>0.99666416131246094</v>
      </c>
      <c r="T98" s="34">
        <f t="shared" si="7"/>
        <v>1.4028336557621301</v>
      </c>
    </row>
    <row r="99" spans="1:20">
      <c r="A99" s="20" t="s">
        <v>93</v>
      </c>
      <c r="B99" s="20" t="s">
        <v>471</v>
      </c>
      <c r="C99" s="18">
        <v>340</v>
      </c>
      <c r="D99" s="18">
        <v>483</v>
      </c>
      <c r="E99" s="19">
        <f>($C$99/881)*100</f>
        <v>38.592508513053346</v>
      </c>
      <c r="F99" s="19">
        <f>($D$99/1376)*100</f>
        <v>35.10174418604651</v>
      </c>
      <c r="G99" s="29">
        <f>($M$2 * ($C$99 + $D$99)) / $N$2</f>
        <v>308.3983352827571</v>
      </c>
      <c r="H99" s="29">
        <f>($L$2 * ($C$99 + $D$99)) / $N$2</f>
        <v>514.6016647172429</v>
      </c>
      <c r="I99" s="21">
        <f>CHITEST($C$99:$D$99,$G$99:$H$99)</f>
        <v>2.2862947262407955E-2</v>
      </c>
      <c r="J99" s="18">
        <f>SUM($C$99,$D$99)</f>
        <v>823</v>
      </c>
      <c r="K99" s="19">
        <f>($J$99/2257*100)</f>
        <v>36.464333185644662</v>
      </c>
      <c r="O99" s="19">
        <f>(($C$99 - $G$99)^2 / $G$99) + (($D$99 - $H$99)^2 / $H$99)</f>
        <v>5.1788883156664838</v>
      </c>
      <c r="P99" s="19">
        <f>SQRT($O$99 / $J$99)</f>
        <v>7.9326511342563633E-2</v>
      </c>
      <c r="Q99">
        <f t="shared" si="4"/>
        <v>1.1619460932327603</v>
      </c>
      <c r="R99">
        <f t="shared" si="5"/>
        <v>8.9329835494568577E-2</v>
      </c>
      <c r="S99">
        <f t="shared" si="6"/>
        <v>0.97531945881644511</v>
      </c>
      <c r="T99" s="34">
        <f t="shared" si="7"/>
        <v>1.3842835917754068</v>
      </c>
    </row>
    <row r="100" spans="1:20">
      <c r="A100" s="20" t="s">
        <v>94</v>
      </c>
      <c r="B100" s="20" t="s">
        <v>472</v>
      </c>
      <c r="C100" s="18">
        <v>288</v>
      </c>
      <c r="D100" s="18">
        <v>430</v>
      </c>
      <c r="E100" s="19">
        <f>($C$100/881)*100</f>
        <v>32.69012485811578</v>
      </c>
      <c r="F100" s="19">
        <f>($D$100/1376)*100</f>
        <v>31.25</v>
      </c>
      <c r="G100" s="29">
        <f>($M$2 * ($C$100 + $D$100)) / $N$2</f>
        <v>269.05225362456815</v>
      </c>
      <c r="H100" s="29">
        <f>($L$2 * ($C$100 + $D$100)) / $N$2</f>
        <v>448.94774637543185</v>
      </c>
      <c r="I100" s="21">
        <f>CHITEST($C$100:$D$100,$G$100:$H$100)</f>
        <v>0.14405850805511067</v>
      </c>
      <c r="J100" s="18">
        <f>SUM($C$100,$D$100)</f>
        <v>718</v>
      </c>
      <c r="K100" s="19">
        <f>($J$100/2257*100)</f>
        <v>31.812140008861324</v>
      </c>
      <c r="O100" s="19">
        <f>(($C$100 - $G$100)^2 / $G$100) + (($D$100 - $H$100)^2 / $H$100)</f>
        <v>2.1340625275554332</v>
      </c>
      <c r="P100" s="19">
        <f>SQRT($O$100 / $J$100)</f>
        <v>5.4518179835064733E-2</v>
      </c>
      <c r="Q100">
        <f t="shared" si="4"/>
        <v>1.0684654300168634</v>
      </c>
      <c r="R100">
        <f t="shared" si="5"/>
        <v>9.2418757353752559E-2</v>
      </c>
      <c r="S100">
        <f t="shared" si="6"/>
        <v>0.89143984251151476</v>
      </c>
      <c r="T100" s="34">
        <f t="shared" si="7"/>
        <v>1.2806454465000812</v>
      </c>
    </row>
    <row r="101" spans="1:20">
      <c r="A101" s="20" t="s">
        <v>95</v>
      </c>
      <c r="B101" s="20" t="s">
        <v>473</v>
      </c>
      <c r="C101" s="18">
        <v>228</v>
      </c>
      <c r="D101" s="18">
        <v>382</v>
      </c>
      <c r="E101" s="19">
        <f>($C$101/881)*100</f>
        <v>25.879682179341657</v>
      </c>
      <c r="F101" s="19">
        <f>($D$101/1376)*100</f>
        <v>27.761627906976745</v>
      </c>
      <c r="G101" s="29">
        <f>($M$2 * ($C$101 + $D$101)) / $N$2</f>
        <v>228.58199820471671</v>
      </c>
      <c r="H101" s="29">
        <f>($L$2 * ($C$101 + $D$101)) / $N$2</f>
        <v>381.41800179528332</v>
      </c>
      <c r="I101" s="21">
        <f>CHITEST($C$101:$D$101,$G$101:$H$101)</f>
        <v>0.96117302945162453</v>
      </c>
      <c r="J101" s="18">
        <f>SUM($C$101,$D$101)</f>
        <v>610</v>
      </c>
      <c r="K101" s="19">
        <f>($J$101/2257*100)</f>
        <v>27.027027027027028</v>
      </c>
      <c r="O101" s="19">
        <f>(($C$101 - $G$101)^2 / $G$101) + (($D$101 - $H$101)^2 / $H$101)</f>
        <v>2.3698994135946771E-3</v>
      </c>
      <c r="P101" s="19">
        <f>SQRT($O$101 / $J$101)</f>
        <v>1.9710608833551826E-3</v>
      </c>
      <c r="Q101">
        <f t="shared" si="4"/>
        <v>0.90854132758192152</v>
      </c>
      <c r="R101">
        <f t="shared" si="5"/>
        <v>9.7679044553332706E-2</v>
      </c>
      <c r="S101">
        <f t="shared" si="6"/>
        <v>0.75023721964897561</v>
      </c>
      <c r="T101" s="34">
        <f t="shared" si="7"/>
        <v>1.1002484578284912</v>
      </c>
    </row>
    <row r="102" spans="1:20">
      <c r="B102" s="20"/>
      <c r="G102" s="29">
        <f>($M$2 * ($C$102 + $D$102)) / $N$2</f>
        <v>0</v>
      </c>
      <c r="I102" s="21"/>
      <c r="O102" s="19"/>
      <c r="P102" s="19"/>
      <c r="R102"/>
      <c r="S102"/>
      <c r="T102" s="34"/>
    </row>
    <row r="103" spans="1:20">
      <c r="A103" s="16" t="s">
        <v>52</v>
      </c>
      <c r="B103" s="20"/>
      <c r="G103" s="29">
        <f>($M$2 * ($C$103 + $D$103)) / $N$2</f>
        <v>0</v>
      </c>
      <c r="I103" s="21"/>
      <c r="O103" s="19"/>
      <c r="P103" s="19"/>
      <c r="R103"/>
      <c r="S103"/>
      <c r="T103" s="34"/>
    </row>
    <row r="104" spans="1:20">
      <c r="A104" s="20" t="s">
        <v>96</v>
      </c>
      <c r="B104" s="20" t="s">
        <v>474</v>
      </c>
      <c r="C104" s="18">
        <v>625</v>
      </c>
      <c r="D104" s="18">
        <v>1101</v>
      </c>
      <c r="E104" s="19">
        <f>($C$104/881)*100</f>
        <v>70.942111237230421</v>
      </c>
      <c r="F104" s="19">
        <f>($D$104/1376)*100</f>
        <v>80.014534883720927</v>
      </c>
      <c r="G104" s="29">
        <f>($M$2 * ($C$104 + $D$104)) / $N$2</f>
        <v>646.77463754318205</v>
      </c>
      <c r="H104" s="29">
        <f>($L$2 * ($C$104 + $D$104)) / $N$2</f>
        <v>1079.2253624568179</v>
      </c>
      <c r="I104" s="21">
        <f>CHITEST($C$104:$D$104,$G$104:$H$104)</f>
        <v>0.27890769785751079</v>
      </c>
      <c r="J104" s="18">
        <f>SUM($C$104,$D$104)</f>
        <v>1726</v>
      </c>
      <c r="K104" s="19">
        <f>($J$104/2257*100)</f>
        <v>76.473194505981397</v>
      </c>
      <c r="O104" s="19">
        <f>(($C$104 - $G$104)^2 / $G$104) + (($D$104 - $H$104)^2 / $H$104)</f>
        <v>1.172404660750439</v>
      </c>
      <c r="P104" s="19">
        <f>SQRT($O$104 / $J$104)</f>
        <v>2.606263803312913E-2</v>
      </c>
      <c r="Q104">
        <f t="shared" si="4"/>
        <v>0.60979720140781102</v>
      </c>
      <c r="R104">
        <f t="shared" si="5"/>
        <v>0.10025407148742618</v>
      </c>
      <c r="S104">
        <f t="shared" si="6"/>
        <v>0.50101120448059422</v>
      </c>
      <c r="T104" s="34">
        <f t="shared" si="7"/>
        <v>0.74220421323771313</v>
      </c>
    </row>
    <row r="105" spans="1:20">
      <c r="A105" s="20" t="s">
        <v>97</v>
      </c>
      <c r="B105" s="20" t="s">
        <v>475</v>
      </c>
      <c r="C105" s="18">
        <v>550</v>
      </c>
      <c r="D105" s="18">
        <v>990</v>
      </c>
      <c r="E105" s="19">
        <f>($C$105/881)*100</f>
        <v>62.42905788876277</v>
      </c>
      <c r="F105" s="19">
        <f>($D$105/1376)*100</f>
        <v>71.947674418604649</v>
      </c>
      <c r="G105" s="29">
        <f>($M$2 * ($C$105 + $D$105)) / $N$2</f>
        <v>577.07586432010442</v>
      </c>
      <c r="H105" s="29">
        <f>($L$2 * ($C$105 + $D$105)) / $N$2</f>
        <v>962.92413567989558</v>
      </c>
      <c r="I105" s="21">
        <f>CHITEST($C$105:$D$105,$G$105:$H$105)</f>
        <v>0.15404782497492431</v>
      </c>
      <c r="J105" s="18">
        <f>SUM($C$105,$D$105)</f>
        <v>1540</v>
      </c>
      <c r="K105" s="19">
        <f>($J$105/2257*100)</f>
        <v>68.232166592822324</v>
      </c>
      <c r="O105" s="19">
        <f>(($C$105 - $G$105)^2 / $G$105) + (($D$105 - $H$105)^2 / $H$105)</f>
        <v>2.0317038144513839</v>
      </c>
      <c r="P105" s="19">
        <f>SQRT($O$105 / $J$105)</f>
        <v>3.6322006982023959E-2</v>
      </c>
      <c r="Q105">
        <f t="shared" si="4"/>
        <v>0.64786841221886537</v>
      </c>
      <c r="R105">
        <f t="shared" si="5"/>
        <v>9.1870041034420674E-2</v>
      </c>
      <c r="S105">
        <f t="shared" si="6"/>
        <v>0.5411098606047271</v>
      </c>
      <c r="T105" s="34">
        <f t="shared" si="7"/>
        <v>0.77568994784518053</v>
      </c>
    </row>
    <row r="106" spans="1:20">
      <c r="A106" s="20" t="s">
        <v>98</v>
      </c>
      <c r="B106" s="20" t="s">
        <v>476</v>
      </c>
      <c r="C106" s="18">
        <v>554</v>
      </c>
      <c r="D106" s="18">
        <v>1002</v>
      </c>
      <c r="E106" s="19">
        <f>($C$106/881)*100</f>
        <v>62.883087400681049</v>
      </c>
      <c r="F106" s="19">
        <f>($D$106/1376)*100</f>
        <v>72.819767441860463</v>
      </c>
      <c r="G106" s="29">
        <f>($M$2 * ($C$106 + $D$106)) / $N$2</f>
        <v>583.07145771563796</v>
      </c>
      <c r="H106" s="29">
        <f>($L$2 * ($C$106 + $D$106)) / $N$2</f>
        <v>972.92854228436204</v>
      </c>
      <c r="I106" s="21">
        <f>CHITEST($C$106:$D$106,$G$106:$H$106)</f>
        <v>0.12787248722177308</v>
      </c>
      <c r="J106" s="18">
        <f>SUM($C$106,$D$106)</f>
        <v>1556</v>
      </c>
      <c r="K106" s="19">
        <f>($J$106/2257*100)</f>
        <v>68.941072219760741</v>
      </c>
      <c r="O106" s="19">
        <f>(($C$106 - $G$106)^2 / $G$106) + (($D$106 - $H$106)^2 / $H$106)</f>
        <v>2.3181443922174916</v>
      </c>
      <c r="P106" s="19">
        <f>SQRT($O$106 / $J$106)</f>
        <v>3.8598057214130982E-2</v>
      </c>
      <c r="Q106">
        <f t="shared" si="4"/>
        <v>0.63236218694110247</v>
      </c>
      <c r="R106">
        <f t="shared" si="5"/>
        <v>9.2384841346508442E-2</v>
      </c>
      <c r="S106">
        <f t="shared" si="6"/>
        <v>0.52762616998866652</v>
      </c>
      <c r="T106" s="34">
        <f t="shared" si="7"/>
        <v>0.75788874437657883</v>
      </c>
    </row>
    <row r="107" spans="1:20">
      <c r="B107" s="20"/>
      <c r="I107" s="21"/>
      <c r="O107" s="19"/>
      <c r="P107" s="19"/>
      <c r="R107"/>
      <c r="S107"/>
      <c r="T107" s="34"/>
    </row>
    <row r="108" spans="1:20">
      <c r="A108" s="16" t="s">
        <v>53</v>
      </c>
      <c r="B108" s="20"/>
      <c r="I108" s="21"/>
      <c r="O108" s="19"/>
      <c r="P108" s="19"/>
      <c r="R108"/>
      <c r="S108"/>
      <c r="T108" s="34"/>
    </row>
    <row r="109" spans="1:20">
      <c r="A109" s="20" t="s">
        <v>99</v>
      </c>
      <c r="B109" s="20" t="s">
        <v>375</v>
      </c>
      <c r="C109" s="18">
        <v>181</v>
      </c>
      <c r="D109" s="18">
        <v>352</v>
      </c>
      <c r="E109" s="19">
        <f>($C$109/881)*100</f>
        <v>20.544835414301929</v>
      </c>
      <c r="F109" s="19">
        <f>($D$109/1376)*100</f>
        <v>25.581395348837212</v>
      </c>
      <c r="G109" s="29">
        <f>($M$2 * ($C$109 + $D$109)) / $N$2</f>
        <v>199.72820498871147</v>
      </c>
      <c r="H109" s="29">
        <f>($L$2 * ($C$109 + $D$109)) / $N$2</f>
        <v>333.27179501128853</v>
      </c>
      <c r="I109" s="21">
        <f>CHITEST($C$109:$D$109,$G$109:$H$109)</f>
        <v>9.3763317127879497E-2</v>
      </c>
      <c r="J109" s="18">
        <f>SUM($C$109,$D$109)</f>
        <v>533</v>
      </c>
      <c r="K109" s="19">
        <f>($J$109/2257*100)</f>
        <v>23.615418697385909</v>
      </c>
      <c r="O109" s="19">
        <f>(($C$109 - $G$109)^2 / $G$109) + (($D$109 - $H$109)^2 / $H$109)</f>
        <v>2.8085461076046436</v>
      </c>
      <c r="P109" s="19">
        <f>SQRT($O$109 / $J$109)</f>
        <v>7.2590063197765689E-2</v>
      </c>
      <c r="Q109">
        <f t="shared" si="4"/>
        <v>0.75220779220779221</v>
      </c>
      <c r="R109">
        <f t="shared" si="5"/>
        <v>0.10378297017301807</v>
      </c>
      <c r="S109">
        <f t="shared" si="6"/>
        <v>0.61375632445509976</v>
      </c>
      <c r="T109" s="34">
        <f t="shared" si="7"/>
        <v>0.92189121335810242</v>
      </c>
    </row>
    <row r="110" spans="1:20">
      <c r="A110" s="20" t="s">
        <v>100</v>
      </c>
      <c r="B110" s="20" t="s">
        <v>376</v>
      </c>
      <c r="C110" s="18">
        <v>218</v>
      </c>
      <c r="D110" s="18">
        <v>359</v>
      </c>
      <c r="E110" s="19">
        <f>($C$110/881)*100</f>
        <v>24.744608399545971</v>
      </c>
      <c r="F110" s="19">
        <f>($D$110/1376)*100</f>
        <v>26.090116279069768</v>
      </c>
      <c r="G110" s="29">
        <f>($M$2 * ($C$110 + $D$110)) / $N$2</f>
        <v>216.21608682642875</v>
      </c>
      <c r="H110" s="29">
        <f>($L$2 * ($C$110 + $D$110)) / $N$2</f>
        <v>360.78391317357125</v>
      </c>
      <c r="I110" s="21">
        <f>CHITEST($C$110:$D$110,$G$110:$H$110)</f>
        <v>0.87806371519786142</v>
      </c>
      <c r="J110" s="18">
        <f>SUM($C$110,$D$110)</f>
        <v>577</v>
      </c>
      <c r="K110" s="19">
        <f>($J$110/2257*100)</f>
        <v>25.56490917146655</v>
      </c>
      <c r="O110" s="19">
        <f>(($C$110 - $G$110)^2 / $G$110) + (($D$110 - $H$110)^2 / $H$110)</f>
        <v>2.3539003345096662E-2</v>
      </c>
      <c r="P110" s="19">
        <f>SQRT($O$110 / $J$110)</f>
        <v>6.3871354871755052E-3</v>
      </c>
      <c r="Q110">
        <f t="shared" si="4"/>
        <v>0.93147128146308866</v>
      </c>
      <c r="R110">
        <f t="shared" si="5"/>
        <v>9.931893615370925E-2</v>
      </c>
      <c r="S110">
        <f t="shared" si="6"/>
        <v>0.76670356801506256</v>
      </c>
      <c r="T110" s="34">
        <f t="shared" si="7"/>
        <v>1.1316482463186386</v>
      </c>
    </row>
    <row r="111" spans="1:20">
      <c r="A111" s="20" t="s">
        <v>101</v>
      </c>
      <c r="B111" s="20" t="s">
        <v>477</v>
      </c>
      <c r="C111" s="18">
        <v>245</v>
      </c>
      <c r="D111" s="18">
        <v>387</v>
      </c>
      <c r="E111" s="19">
        <f>($C$111/881)*100</f>
        <v>27.809307604994327</v>
      </c>
      <c r="F111" s="19">
        <f>($D$111/1376)*100</f>
        <v>28.125</v>
      </c>
      <c r="G111" s="29">
        <f>($M$2 * ($C$111 + $D$111)) / $N$2</f>
        <v>236.82593912357532</v>
      </c>
      <c r="H111" s="29">
        <f>($L$2 * ($C$111 + $D$111)) / $N$2</f>
        <v>395.17406087642468</v>
      </c>
      <c r="I111" s="21">
        <f>CHITEST($C$111:$D$111,$G$111:$H$111)</f>
        <v>0.50176267695571219</v>
      </c>
      <c r="J111" s="18">
        <f>SUM($C$111,$D$111)</f>
        <v>632</v>
      </c>
      <c r="K111" s="19">
        <f>($J$111/2257*100)</f>
        <v>28.001772264067348</v>
      </c>
      <c r="O111" s="19">
        <f>(($C$111 - $G$111)^2 / $G$111) + (($D$111 - $H$111)^2 / $H$111)</f>
        <v>0.45120625944931847</v>
      </c>
      <c r="P111" s="19">
        <f>SQRT($O$111 / $J$111)</f>
        <v>2.6719542563915104E-2</v>
      </c>
      <c r="Q111">
        <f t="shared" si="4"/>
        <v>0.98445143256464018</v>
      </c>
      <c r="R111">
        <f t="shared" si="5"/>
        <v>9.6172040485037011E-2</v>
      </c>
      <c r="S111">
        <f t="shared" si="6"/>
        <v>0.81532545549841839</v>
      </c>
      <c r="T111" s="34">
        <f t="shared" si="7"/>
        <v>1.1886598370538086</v>
      </c>
    </row>
    <row r="112" spans="1:20">
      <c r="A112" s="20" t="s">
        <v>102</v>
      </c>
      <c r="B112" s="20" t="s">
        <v>377</v>
      </c>
      <c r="C112" s="18">
        <v>250</v>
      </c>
      <c r="D112" s="18">
        <v>441</v>
      </c>
      <c r="E112" s="19">
        <f>($C$112/881)*100</f>
        <v>28.376844494892168</v>
      </c>
      <c r="F112" s="19">
        <f>($D$112/1376)*100</f>
        <v>32.049418604651166</v>
      </c>
      <c r="G112" s="29">
        <f>($M$2 * ($C$112 + $D$112)) / $N$2</f>
        <v>258.93468976960531</v>
      </c>
      <c r="H112" s="29">
        <f>($L$2 * ($C$112 + $D$112)) / $N$2</f>
        <v>432.06531023039469</v>
      </c>
      <c r="I112" s="21">
        <f>CHITEST($C$112:$D$112,$G$112:$H$112)</f>
        <v>0.48256668706132877</v>
      </c>
      <c r="J112" s="18">
        <f>SUM($C$112,$D$112)</f>
        <v>691</v>
      </c>
      <c r="K112" s="19">
        <f>($J$112/2257*100)</f>
        <v>30.615861763402748</v>
      </c>
      <c r="O112" s="19">
        <f>(($C$112 - $G$112)^2 / $G$112) + (($D$112 - $H$112)^2 / $H$112)</f>
        <v>0.4930572693967058</v>
      </c>
      <c r="P112" s="19">
        <f>SQRT($O$112 / $J$112)</f>
        <v>2.6712200104784877E-2</v>
      </c>
      <c r="Q112">
        <f t="shared" si="4"/>
        <v>0.8400084809412407</v>
      </c>
      <c r="R112">
        <f t="shared" si="5"/>
        <v>9.4455695786995239E-2</v>
      </c>
      <c r="S112">
        <f t="shared" si="6"/>
        <v>0.69804168694960356</v>
      </c>
      <c r="T112" s="34">
        <f t="shared" si="7"/>
        <v>1.0108482935119516</v>
      </c>
    </row>
    <row r="113" spans="1:20">
      <c r="A113" s="20" t="s">
        <v>103</v>
      </c>
      <c r="B113" s="20" t="s">
        <v>478</v>
      </c>
      <c r="C113" s="18">
        <v>200</v>
      </c>
      <c r="D113" s="18">
        <v>389</v>
      </c>
      <c r="E113" s="19">
        <f>($C$113/881)*100</f>
        <v>22.701475595913735</v>
      </c>
      <c r="F113" s="19">
        <f>($D$113/1376)*100</f>
        <v>28.270348837209301</v>
      </c>
      <c r="G113" s="29">
        <f>($M$2 * ($C$113 + $D$113)) / $N$2</f>
        <v>220.71278187307891</v>
      </c>
      <c r="H113" s="29">
        <f>($L$2 * ($C$113 + $D$113)) / $N$2</f>
        <v>368.28721812692106</v>
      </c>
      <c r="I113" s="21">
        <f>CHITEST($C$113:$D$113,$G$113:$H$113)</f>
        <v>7.7875363894677571E-2</v>
      </c>
      <c r="J113" s="18">
        <f>SUM($C$113,$D$113)</f>
        <v>589</v>
      </c>
      <c r="K113" s="19">
        <f>($J$113/2257*100)</f>
        <v>26.096588391670362</v>
      </c>
      <c r="O113" s="19">
        <f>(($C$113 - $G$113)^2 / $G$113) + (($D$113 - $H$113)^2 / $H$113)</f>
        <v>3.1086943724969069</v>
      </c>
      <c r="P113" s="19">
        <f>SQRT($O$113 / $J$113)</f>
        <v>7.2649288629448167E-2</v>
      </c>
      <c r="Q113">
        <f t="shared" si="4"/>
        <v>0.74516154604033846</v>
      </c>
      <c r="R113">
        <f t="shared" si="5"/>
        <v>0.10026112952956841</v>
      </c>
      <c r="S113">
        <f t="shared" si="6"/>
        <v>0.61221848553957903</v>
      </c>
      <c r="T113" s="34">
        <f t="shared" si="7"/>
        <v>0.906973152252735</v>
      </c>
    </row>
    <row r="114" spans="1:20">
      <c r="B114" s="20"/>
      <c r="I114" s="21"/>
      <c r="O114" s="19"/>
      <c r="P114" s="19"/>
      <c r="R114"/>
      <c r="S114"/>
      <c r="T114" s="34"/>
    </row>
    <row r="115" spans="1:20">
      <c r="A115" s="16" t="s">
        <v>54</v>
      </c>
      <c r="B115" s="20"/>
      <c r="I115" s="21"/>
      <c r="O115" s="19"/>
      <c r="P115" s="19"/>
      <c r="R115"/>
      <c r="S115"/>
      <c r="T115" s="34"/>
    </row>
    <row r="116" spans="1:20">
      <c r="A116" s="20" t="s">
        <v>104</v>
      </c>
      <c r="B116" s="20" t="s">
        <v>479</v>
      </c>
      <c r="C116" s="18">
        <v>502</v>
      </c>
      <c r="D116" s="18">
        <v>883</v>
      </c>
      <c r="E116" s="19">
        <f>($C$116/881)*100</f>
        <v>56.980703745743476</v>
      </c>
      <c r="F116" s="19">
        <f>($D$116/1376)*100</f>
        <v>64.17151162790698</v>
      </c>
      <c r="G116" s="29">
        <f>($M$2 * ($C$116 + $D$116)) / $N$2</f>
        <v>518.99355330087315</v>
      </c>
      <c r="H116" s="29">
        <f>($L$2 * ($C$116 + $D$116)) / $N$2</f>
        <v>866.00644669912685</v>
      </c>
      <c r="I116" s="21">
        <f>CHITEST($C$116:$D$116,$G$116:$H$116)</f>
        <v>0.34550781014731152</v>
      </c>
      <c r="J116" s="18">
        <f>SUM($C$116,$D$116)</f>
        <v>1385</v>
      </c>
      <c r="K116" s="19">
        <f>($J$116/2257*100)</f>
        <v>61.364643331856449</v>
      </c>
      <c r="O116" s="19">
        <f>(($C$116 - $G$116)^2 / $G$116) + (($D$116 - $H$116)^2 / $H$116)</f>
        <v>0.88988744836605171</v>
      </c>
      <c r="P116" s="19">
        <f>SQRT($O$116 / $J$116)</f>
        <v>2.5347939033789062E-2</v>
      </c>
      <c r="Q116">
        <f t="shared" si="4"/>
        <v>0.73952136067675267</v>
      </c>
      <c r="R116">
        <f t="shared" si="5"/>
        <v>8.8269217154852989E-2</v>
      </c>
      <c r="S116">
        <f t="shared" si="6"/>
        <v>0.62203446514599692</v>
      </c>
      <c r="T116" s="34">
        <f t="shared" si="7"/>
        <v>0.87919861927399068</v>
      </c>
    </row>
    <row r="117" spans="1:20" ht="25.5">
      <c r="A117" s="32" t="s">
        <v>105</v>
      </c>
      <c r="B117" s="20" t="s">
        <v>480</v>
      </c>
      <c r="C117" s="18">
        <v>307</v>
      </c>
      <c r="D117" s="18">
        <v>486</v>
      </c>
      <c r="E117" s="19">
        <f>($C$117/881)*100</f>
        <v>34.846765039727586</v>
      </c>
      <c r="F117" s="19">
        <f>($D$117/1376)*100</f>
        <v>35.319767441860463</v>
      </c>
      <c r="G117" s="29">
        <f>($M$2 * ($C$117 + $D$117)) / $N$2</f>
        <v>297.15659766613169</v>
      </c>
      <c r="H117" s="29">
        <f>($L$2 * ($C$117 + $D$117)) / $N$2</f>
        <v>495.84340233386831</v>
      </c>
      <c r="I117" s="21">
        <f>CHITEST($C$117:$D$117,$G$117:$H$117)</f>
        <v>0.4702130377315506</v>
      </c>
      <c r="J117" s="18">
        <f>SUM($C$117,$D$117)</f>
        <v>793</v>
      </c>
      <c r="K117" s="19">
        <f>($J$117/2257*100)</f>
        <v>35.135135135135137</v>
      </c>
      <c r="O117" s="19">
        <f>(($C$117 - $G$117)^2 / $G$117) + (($D$117 - $H$117)^2 / $H$117)</f>
        <v>0.52147530211654214</v>
      </c>
      <c r="P117" s="19">
        <f>SQRT($O$117 / $J$117)</f>
        <v>2.5643675850352651E-2</v>
      </c>
      <c r="Q117">
        <f t="shared" si="4"/>
        <v>0.97944537646434671</v>
      </c>
      <c r="R117">
        <f t="shared" si="5"/>
        <v>9.0447210810040549E-2</v>
      </c>
      <c r="S117">
        <f t="shared" si="6"/>
        <v>0.82033265587349857</v>
      </c>
      <c r="T117" s="34">
        <f t="shared" si="7"/>
        <v>1.1694197940418445</v>
      </c>
    </row>
    <row r="118" spans="1:20">
      <c r="A118" s="20" t="s">
        <v>106</v>
      </c>
      <c r="B118" s="20" t="s">
        <v>378</v>
      </c>
      <c r="C118" s="18">
        <v>356</v>
      </c>
      <c r="D118" s="18">
        <v>583</v>
      </c>
      <c r="E118" s="19">
        <f>($C$118/881)*100</f>
        <v>40.408626560726447</v>
      </c>
      <c r="F118" s="19">
        <f>($D$118/1376)*100</f>
        <v>42.369186046511622</v>
      </c>
      <c r="G118" s="29">
        <f>($M$2 * ($C$118 + $D$118)) / $N$2</f>
        <v>351.8663874003754</v>
      </c>
      <c r="H118" s="29">
        <f>($L$2 * ($C$118 + $D$118)) / $N$2</f>
        <v>587.1336125996246</v>
      </c>
      <c r="I118" s="21">
        <f>CHITEST($C$118:$D$118,$G$118:$H$118)</f>
        <v>0.78049070611009153</v>
      </c>
      <c r="J118" s="18">
        <f>SUM($C$118,$D$118)</f>
        <v>939</v>
      </c>
      <c r="K118" s="19">
        <f>($J$118/2257*100)</f>
        <v>41.603898980948159</v>
      </c>
      <c r="O118" s="19">
        <f>(($C$118 - $G$118)^2 / $G$118) + (($D$118 - $H$118)^2 / $H$118)</f>
        <v>7.7662329091072013E-2</v>
      </c>
      <c r="P118" s="19">
        <f>SQRT($O$118 / $J$118)</f>
        <v>9.0943656029429283E-3</v>
      </c>
      <c r="Q118">
        <f t="shared" si="4"/>
        <v>0.92234909744343707</v>
      </c>
      <c r="R118">
        <f t="shared" si="5"/>
        <v>8.7692933483464922E-2</v>
      </c>
      <c r="S118">
        <f t="shared" si="6"/>
        <v>0.77669336504816755</v>
      </c>
      <c r="T118" s="34">
        <f t="shared" si="7"/>
        <v>1.0953201042240963</v>
      </c>
    </row>
    <row r="119" spans="1:20" ht="25.5">
      <c r="A119" s="32" t="s">
        <v>107</v>
      </c>
      <c r="B119" s="20" t="s">
        <v>379</v>
      </c>
      <c r="C119" s="18">
        <v>292</v>
      </c>
      <c r="D119" s="18">
        <v>476</v>
      </c>
      <c r="E119" s="19">
        <f>($C$119/881)*100</f>
        <v>33.144154370034052</v>
      </c>
      <c r="F119" s="19">
        <f>($D$119/1376)*100</f>
        <v>34.593023255813954</v>
      </c>
      <c r="G119" s="29">
        <f>($M$2 * ($C$119 + $D$119)) / $N$2</f>
        <v>287.78848298561053</v>
      </c>
      <c r="H119" s="29">
        <f>($L$2 * ($C$119 + $D$119)) / $N$2</f>
        <v>480.21151701438947</v>
      </c>
      <c r="I119" s="21">
        <f>CHITEST($C$119:$D$119,$G$119:$H$119)</f>
        <v>0.75355588937241191</v>
      </c>
      <c r="J119" s="18">
        <f>SUM($C$119,$D$119)</f>
        <v>768</v>
      </c>
      <c r="K119" s="19">
        <f>($J$119/2257*100)</f>
        <v>34.027470093043867</v>
      </c>
      <c r="O119" s="19">
        <f>(($C$119 - $G$119)^2 / $G$119) + (($D$119 - $H$119)^2 / $H$119)</f>
        <v>9.8567185909406205E-2</v>
      </c>
      <c r="P119" s="19">
        <f>SQRT($O$119 / $J$119)</f>
        <v>1.1328843276619462E-2</v>
      </c>
      <c r="Q119">
        <f t="shared" si="4"/>
        <v>0.93735286984063582</v>
      </c>
      <c r="R119">
        <f t="shared" si="5"/>
        <v>9.1292945240922588E-2</v>
      </c>
      <c r="S119">
        <f t="shared" si="6"/>
        <v>0.78377785659426868</v>
      </c>
      <c r="T119" s="34">
        <f t="shared" si="7"/>
        <v>1.1210196807758359</v>
      </c>
    </row>
    <row r="120" spans="1:20">
      <c r="A120" s="20" t="s">
        <v>108</v>
      </c>
      <c r="B120" s="20" t="s">
        <v>380</v>
      </c>
      <c r="C120" s="18">
        <v>394</v>
      </c>
      <c r="D120" s="18">
        <v>828</v>
      </c>
      <c r="E120" s="19">
        <f>($C$120/881)*100</f>
        <v>44.721906923950058</v>
      </c>
      <c r="F120" s="19">
        <f>($D$120/1376)*100</f>
        <v>60.174418604651159</v>
      </c>
      <c r="G120" s="29">
        <f>($M$2 * ($C$120 + $D$120)) / $N$2</f>
        <v>457.9134455838751</v>
      </c>
      <c r="H120" s="29">
        <f>($L$2 * ($C$120 + $D$120)) / $N$2</f>
        <v>764.08655441612495</v>
      </c>
      <c r="I120" s="21">
        <f>CHITEST($C$120:$D$120,$G$120:$H$120)</f>
        <v>1.5862973797645873E-4</v>
      </c>
      <c r="J120" s="18">
        <f>SUM($C$120,$D$120)</f>
        <v>1222</v>
      </c>
      <c r="K120" s="19">
        <f>($J$120/2257*100)</f>
        <v>54.142667257421351</v>
      </c>
      <c r="O120" s="19">
        <f>(($C$120 - $G$120)^2 / $G$120) + (($D$120 - $H$120)^2 / $H$120)</f>
        <v>14.266903205295103</v>
      </c>
      <c r="P120" s="19">
        <f>SQRT($O$120 / $J$120)</f>
        <v>0.10805111540156058</v>
      </c>
      <c r="Q120">
        <f t="shared" si="4"/>
        <v>0.53544822386890056</v>
      </c>
      <c r="R120">
        <f t="shared" si="5"/>
        <v>8.7315554989853508E-2</v>
      </c>
      <c r="S120">
        <f t="shared" si="6"/>
        <v>0.45122482110277484</v>
      </c>
      <c r="T120" s="34">
        <f t="shared" si="7"/>
        <v>0.63539235218414081</v>
      </c>
    </row>
    <row r="121" spans="1:20">
      <c r="A121" s="20" t="s">
        <v>109</v>
      </c>
      <c r="B121" s="20" t="s">
        <v>481</v>
      </c>
      <c r="C121" s="18">
        <v>347</v>
      </c>
      <c r="D121" s="18">
        <v>598</v>
      </c>
      <c r="E121" s="19">
        <f>($C$121/881)*100</f>
        <v>39.38706015891033</v>
      </c>
      <c r="F121" s="19">
        <f>($D$121/1376)*100</f>
        <v>43.459302325581397</v>
      </c>
      <c r="G121" s="29">
        <f>($M$2 * ($C$121 + $D$121)) / $N$2</f>
        <v>354.11473492370044</v>
      </c>
      <c r="H121" s="29">
        <f>($L$2 * ($C$121 + $D$121)) / $N$2</f>
        <v>590.88526507629956</v>
      </c>
      <c r="I121" s="21">
        <f>CHITEST($C$121:$D$121,$G$121:$H$121)</f>
        <v>0.63255372009519806</v>
      </c>
      <c r="J121" s="18">
        <f>SUM($C$121,$D$121)</f>
        <v>945</v>
      </c>
      <c r="K121" s="19">
        <f>($J$121/2257*100)</f>
        <v>41.869738591050066</v>
      </c>
      <c r="O121" s="19">
        <f>(($C$121 - $G$121)^2 / $G$121) + (($D$121 - $H$121)^2 / $H$121)</f>
        <v>0.22861361871170888</v>
      </c>
      <c r="P121" s="19">
        <f>SQRT($O$121 / $J$121)</f>
        <v>1.5553751098686888E-2</v>
      </c>
      <c r="Q121">
        <f t="shared" si="4"/>
        <v>0.84540854032793455</v>
      </c>
      <c r="R121">
        <f t="shared" si="5"/>
        <v>8.7818514009352297E-2</v>
      </c>
      <c r="S121">
        <f t="shared" si="6"/>
        <v>0.71172791942338398</v>
      </c>
      <c r="T121" s="34">
        <f t="shared" si="7"/>
        <v>1.004197784791758</v>
      </c>
    </row>
    <row r="122" spans="1:20">
      <c r="B122" s="20"/>
      <c r="I122" s="21"/>
      <c r="O122" s="19"/>
      <c r="P122" s="19"/>
      <c r="R122"/>
      <c r="S122"/>
      <c r="T122" s="34"/>
    </row>
    <row r="123" spans="1:20">
      <c r="A123" s="16" t="s">
        <v>55</v>
      </c>
      <c r="B123" s="20"/>
      <c r="I123" s="21"/>
      <c r="O123" s="19"/>
      <c r="P123" s="19"/>
      <c r="R123"/>
      <c r="S123"/>
      <c r="T123" s="34"/>
    </row>
    <row r="124" spans="1:20">
      <c r="A124" s="20" t="s">
        <v>110</v>
      </c>
      <c r="B124" s="20" t="s">
        <v>381</v>
      </c>
      <c r="C124" s="18">
        <v>250</v>
      </c>
      <c r="D124" s="18">
        <v>454</v>
      </c>
      <c r="E124" s="19">
        <f>($C$124/881)*100</f>
        <v>28.376844494892168</v>
      </c>
      <c r="F124" s="19">
        <f>($D$124/1376)*100</f>
        <v>32.994186046511622</v>
      </c>
      <c r="G124" s="29">
        <f>($M$2 * ($C$124 + $D$124)) / $N$2</f>
        <v>263.80610940347634</v>
      </c>
      <c r="H124" s="29">
        <f>($L$2 * ($C$124 + $D$124)) / $N$2</f>
        <v>440.19389059652366</v>
      </c>
      <c r="I124" s="21">
        <f>CHITEST($C$124:$D$124,$G$124:$H$124)</f>
        <v>0.28239163308585391</v>
      </c>
      <c r="J124" s="18">
        <f>SUM($C$124,$D$124)</f>
        <v>704</v>
      </c>
      <c r="K124" s="19">
        <f>($J$124/2257*100)</f>
        <v>31.191847585290205</v>
      </c>
      <c r="O124" s="19">
        <f>(($C$124 - $G$124)^2 / $G$124) + (($D$124 - $H$124)^2 / $H$124)</f>
        <v>1.1555438232547757</v>
      </c>
      <c r="P124" s="19">
        <f>SQRT($O$124 / $J$124)</f>
        <v>4.0514163896274227E-2</v>
      </c>
      <c r="Q124">
        <f t="shared" si="4"/>
        <v>0.80461054057261738</v>
      </c>
      <c r="R124">
        <f t="shared" si="5"/>
        <v>9.4191442945580017E-2</v>
      </c>
      <c r="S124">
        <f t="shared" si="6"/>
        <v>0.66897261940510011</v>
      </c>
      <c r="T124" s="34">
        <f t="shared" si="7"/>
        <v>0.96774980503129382</v>
      </c>
    </row>
    <row r="125" spans="1:20">
      <c r="A125" s="20" t="s">
        <v>111</v>
      </c>
      <c r="B125" s="20" t="s">
        <v>482</v>
      </c>
      <c r="C125" s="18">
        <v>323</v>
      </c>
      <c r="D125" s="18">
        <v>645</v>
      </c>
      <c r="E125" s="19">
        <f>($C$125/881)*100</f>
        <v>36.662883087400679</v>
      </c>
      <c r="F125" s="19">
        <f>($D$125/1376)*100</f>
        <v>46.875</v>
      </c>
      <c r="G125" s="29">
        <f>($M$2 * ($C$125 + $D$125)) / $N$2</f>
        <v>362.73340042977992</v>
      </c>
      <c r="H125" s="29">
        <f>($L$2 * ($C$125 + $D$125)) / $N$2</f>
        <v>605.26659957022002</v>
      </c>
      <c r="I125" s="21">
        <f>CHITEST($C$125:$D$125,$G$125:$H$125)</f>
        <v>8.3319687947622009E-3</v>
      </c>
      <c r="J125" s="18">
        <f>SUM($C$125,$D$125)</f>
        <v>968</v>
      </c>
      <c r="K125" s="19">
        <f>($J$125/2257*100)</f>
        <v>42.888790429774041</v>
      </c>
      <c r="O125" s="19">
        <f>(($C$125 - $G$125)^2 / $G$125) + (($D$125 - $H$125)^2 / $H$125)</f>
        <v>6.9606944367517194</v>
      </c>
      <c r="P125" s="19">
        <f>SQRT($O$125 / $J$125)</f>
        <v>8.4798585117716749E-2</v>
      </c>
      <c r="Q125">
        <f t="shared" si="4"/>
        <v>0.65603345280764636</v>
      </c>
      <c r="R125">
        <f t="shared" si="5"/>
        <v>8.8354210881685893E-2</v>
      </c>
      <c r="S125">
        <f t="shared" si="6"/>
        <v>0.55171826663203516</v>
      </c>
      <c r="T125" s="34">
        <f t="shared" si="7"/>
        <v>0.78007185411854674</v>
      </c>
    </row>
    <row r="126" spans="1:20">
      <c r="A126" s="20" t="s">
        <v>112</v>
      </c>
      <c r="B126" s="20" t="s">
        <v>382</v>
      </c>
      <c r="C126" s="18">
        <v>284</v>
      </c>
      <c r="D126" s="18">
        <v>551</v>
      </c>
      <c r="E126" s="19">
        <f>($C$126/881)*100</f>
        <v>32.236095346197501</v>
      </c>
      <c r="F126" s="19">
        <f>($D$126/1376)*100</f>
        <v>40.043604651162788</v>
      </c>
      <c r="G126" s="29">
        <f>($M$2 * ($C$126 + $D$126)) / $N$2</f>
        <v>312.89503032940729</v>
      </c>
      <c r="H126" s="29">
        <f>($L$2 * ($C$126 + $D$126)) / $N$2</f>
        <v>522.10496967059271</v>
      </c>
      <c r="I126" s="21">
        <f>CHITEST($C$126:$D$126,$G$126:$H$126)</f>
        <v>3.8847425134965329E-2</v>
      </c>
      <c r="J126" s="18">
        <f>SUM($C$126,$D$126)</f>
        <v>835</v>
      </c>
      <c r="K126" s="19">
        <f>($J$126/2257*100)</f>
        <v>36.996012405848475</v>
      </c>
      <c r="O126" s="19">
        <f>(($C$126 - $G$126)^2 / $G$126) + (($D$126 - $H$126)^2 / $H$126)</f>
        <v>4.2675271459306874</v>
      </c>
      <c r="P126" s="19">
        <f>SQRT($O$126 / $J$126)</f>
        <v>7.1489936027460566E-2</v>
      </c>
      <c r="Q126">
        <f t="shared" si="4"/>
        <v>0.71227279774553354</v>
      </c>
      <c r="R126">
        <f t="shared" si="5"/>
        <v>9.0681706431889386E-2</v>
      </c>
      <c r="S126">
        <f t="shared" si="6"/>
        <v>0.59628863474774796</v>
      </c>
      <c r="T126" s="34">
        <f t="shared" si="7"/>
        <v>0.85081705208563985</v>
      </c>
    </row>
    <row r="127" spans="1:20">
      <c r="A127" s="20" t="s">
        <v>113</v>
      </c>
      <c r="B127" s="20" t="s">
        <v>383</v>
      </c>
      <c r="C127" s="18">
        <v>361</v>
      </c>
      <c r="D127" s="18">
        <v>692</v>
      </c>
      <c r="E127" s="19">
        <f>($C$127/881)*100</f>
        <v>40.976163450624291</v>
      </c>
      <c r="F127" s="19">
        <f>($D$127/1376)*100</f>
        <v>50.290697674418603</v>
      </c>
      <c r="G127" s="29">
        <f>($M$2 * ($C$127 + $D$127)) / $N$2</f>
        <v>394.58499034355196</v>
      </c>
      <c r="H127" s="29">
        <f>($L$2 * ($C$127 + $D$127)) / $N$2</f>
        <v>658.41500965644809</v>
      </c>
      <c r="I127" s="21">
        <f>CHITEST($C$127:$D$127,$G$127:$H$127)</f>
        <v>3.2504130772808948E-2</v>
      </c>
      <c r="J127" s="18">
        <f>SUM($C$127,$D$127)</f>
        <v>1053</v>
      </c>
      <c r="K127" s="19">
        <f>($J$127/2257*100)</f>
        <v>46.654851572884361</v>
      </c>
      <c r="O127" s="19">
        <f>(($C$127 - $G$127)^2 / $G$127) + (($D$127 - $H$127)^2 / $H$127)</f>
        <v>4.5717086224912951</v>
      </c>
      <c r="P127" s="19">
        <f>SQRT($O$127 / $J$127)</f>
        <v>6.5890846330095024E-2</v>
      </c>
      <c r="Q127">
        <f t="shared" si="4"/>
        <v>0.68620497999110708</v>
      </c>
      <c r="R127">
        <f t="shared" si="5"/>
        <v>8.7179326877797572E-2</v>
      </c>
      <c r="S127">
        <f t="shared" si="6"/>
        <v>0.57842269467451746</v>
      </c>
      <c r="T127" s="34">
        <f t="shared" si="7"/>
        <v>0.81407123008816529</v>
      </c>
    </row>
    <row r="128" spans="1:20">
      <c r="A128" s="20" t="s">
        <v>114</v>
      </c>
      <c r="B128" s="20" t="s">
        <v>384</v>
      </c>
      <c r="C128" s="18">
        <v>219</v>
      </c>
      <c r="D128" s="18">
        <v>377</v>
      </c>
      <c r="E128" s="19">
        <f>($C$128/881)*100</f>
        <v>24.858115777525537</v>
      </c>
      <c r="F128" s="19">
        <f>($D$128/1376)*100</f>
        <v>27.398255813953487</v>
      </c>
      <c r="G128" s="29">
        <f>($M$2 * ($C$128 + $D$128)) / $N$2</f>
        <v>223.33585398362484</v>
      </c>
      <c r="H128" s="29">
        <f>($L$2 * ($C$128 + $D$128)) / $N$2</f>
        <v>372.66414601637518</v>
      </c>
      <c r="I128" s="21">
        <f>CHITEST($C$128:$D$128,$G$128:$H$128)</f>
        <v>0.71368602644818435</v>
      </c>
      <c r="J128" s="18">
        <f>SUM($C$128,$D$128)</f>
        <v>596</v>
      </c>
      <c r="K128" s="19">
        <f>($J$128/2257*100)</f>
        <v>26.406734603455916</v>
      </c>
      <c r="O128" s="19">
        <f>(($C$128 - $G$128)^2 / $G$128) + (($D$128 - $H$128)^2 / $H$128)</f>
        <v>0.13462307159603962</v>
      </c>
      <c r="P128" s="19">
        <f>SQRT($O$128 / $J$128)</f>
        <v>1.5029226091389628E-2</v>
      </c>
      <c r="Q128">
        <f t="shared" si="4"/>
        <v>0.8766177566573442</v>
      </c>
      <c r="R128">
        <f t="shared" si="5"/>
        <v>9.8642308157753447E-2</v>
      </c>
      <c r="S128">
        <f t="shared" si="6"/>
        <v>0.72251062089047957</v>
      </c>
      <c r="T128" s="34">
        <f t="shared" si="7"/>
        <v>1.0635950103264158</v>
      </c>
    </row>
    <row r="129" spans="1:20">
      <c r="A129" s="20" t="s">
        <v>115</v>
      </c>
      <c r="B129" s="20" t="s">
        <v>385</v>
      </c>
      <c r="C129" s="18">
        <v>281</v>
      </c>
      <c r="D129" s="18">
        <v>525</v>
      </c>
      <c r="E129" s="19">
        <f>($C$129/881)*100</f>
        <v>31.8955732122588</v>
      </c>
      <c r="F129" s="19">
        <f>($D$129/1376)*100</f>
        <v>38.154069767441861</v>
      </c>
      <c r="G129" s="29">
        <f>($M$2 * ($C$129 + $D$129)) / $N$2</f>
        <v>302.02801730000272</v>
      </c>
      <c r="H129" s="29">
        <f>($L$2 * ($C$129 + $D$129)) / $N$2</f>
        <v>503.97198269999728</v>
      </c>
      <c r="I129" s="21">
        <f>CHITEST($C$129:$D$129,$G$129:$H$129)</f>
        <v>0.12597522097018046</v>
      </c>
      <c r="J129" s="18">
        <f>SUM($C$129,$D$129)</f>
        <v>806</v>
      </c>
      <c r="K129" s="19">
        <f>($J$129/2257*100)</f>
        <v>35.711120957022594</v>
      </c>
      <c r="O129" s="19">
        <f>(($C$129 - $G$129)^2 / $G$129) + (($D$129 - $H$129)^2 / $H$129)</f>
        <v>2.3414132302322415</v>
      </c>
      <c r="P129" s="19">
        <f>SQRT($O$129 / $J$129)</f>
        <v>5.3897858898443528E-2</v>
      </c>
      <c r="Q129">
        <f t="shared" si="4"/>
        <v>0.75914603174603168</v>
      </c>
      <c r="R129">
        <f t="shared" si="5"/>
        <v>9.1133065153370135E-2</v>
      </c>
      <c r="S129">
        <f t="shared" si="6"/>
        <v>0.63496720467690615</v>
      </c>
      <c r="T129" s="34">
        <f t="shared" si="7"/>
        <v>0.90761017777129172</v>
      </c>
    </row>
    <row r="130" spans="1:20">
      <c r="B130" s="20"/>
      <c r="I130" s="21"/>
      <c r="O130" s="19"/>
      <c r="P130" s="19"/>
      <c r="R130"/>
      <c r="S130"/>
      <c r="T130" s="34"/>
    </row>
    <row r="131" spans="1:20">
      <c r="A131" s="16" t="s">
        <v>121</v>
      </c>
      <c r="B131" s="20"/>
      <c r="I131" s="21"/>
      <c r="O131" s="19"/>
      <c r="P131" s="19"/>
      <c r="R131"/>
      <c r="S131"/>
      <c r="T131" s="34"/>
    </row>
    <row r="132" spans="1:20">
      <c r="A132" s="20" t="s">
        <v>116</v>
      </c>
      <c r="B132" s="20" t="s">
        <v>483</v>
      </c>
      <c r="C132" s="18">
        <v>375</v>
      </c>
      <c r="D132" s="18">
        <v>721</v>
      </c>
      <c r="E132" s="19">
        <f>($C$132/881)*100</f>
        <v>42.565266742338252</v>
      </c>
      <c r="F132" s="19">
        <f>($D$132/1376)*100</f>
        <v>52.39825581395349</v>
      </c>
      <c r="G132" s="29">
        <f>($M$2 * ($C$132 + $D$132)) / $N$2</f>
        <v>410.69814759404835</v>
      </c>
      <c r="H132" s="29">
        <f>($L$2 * ($C$132 + $D$132)) / $N$2</f>
        <v>685.30185240595165</v>
      </c>
      <c r="I132" s="21">
        <f>CHITEST($C$132:$D$132,$G$132:$H$132)</f>
        <v>2.5903289999338577E-2</v>
      </c>
      <c r="J132" s="18">
        <f>SUM($C$132,$D$132)</f>
        <v>1096</v>
      </c>
      <c r="K132" s="19">
        <f>($J$132/2257*100)</f>
        <v>48.560035445281343</v>
      </c>
      <c r="O132" s="19">
        <f>(($C$132 - $G$132)^2 / $G$132) + (($D$132 - $H$132)^2 / $H$132)</f>
        <v>4.962462820560007</v>
      </c>
      <c r="P132" s="19">
        <f>SQRT($O$132 / $J$132)</f>
        <v>6.7288888713565295E-2</v>
      </c>
      <c r="Q132">
        <f t="shared" ref="Q132:Q150" si="8" xml:space="preserve"> (C132 / (881 - C132)) / (D132 / (1376 - D132))</f>
        <v>0.67326615975835069</v>
      </c>
      <c r="R132">
        <f t="shared" ref="R132:R150" si="9">SQRT(1/C132 + 1/(881 - C132) + 1/D132 + 1/(1376 - D132))</f>
        <v>8.6928886803581629E-2</v>
      </c>
      <c r="S132">
        <f t="shared" ref="S132:S150" si="10">EXP(LN((C132 / (881 - C132)) / (D132 / (1376 - D132))) - 1.96 * R132)</f>
        <v>0.56779481705525603</v>
      </c>
      <c r="T132" s="34">
        <f t="shared" ref="T132:T150" si="11">EXP(LN((C132 / (881 - C132)) / (D132 / (1376 - D132))) + 1.96 * R132)</f>
        <v>0.79832944623664026</v>
      </c>
    </row>
    <row r="133" spans="1:20">
      <c r="A133" s="20" t="s">
        <v>117</v>
      </c>
      <c r="B133" s="20" t="s">
        <v>484</v>
      </c>
      <c r="C133" s="18">
        <v>418</v>
      </c>
      <c r="D133" s="18">
        <v>765</v>
      </c>
      <c r="E133" s="19">
        <f>($C$133/881)*100</f>
        <v>47.446083995459702</v>
      </c>
      <c r="F133" s="19">
        <f>($D$133/1376)*100</f>
        <v>55.595930232558146</v>
      </c>
      <c r="G133" s="29">
        <f>($M$2 * ($C$133 + $D$133)) / $N$2</f>
        <v>443.29918668226208</v>
      </c>
      <c r="H133" s="29">
        <f>($L$2 * ($C$133 + $D$133)) / $N$2</f>
        <v>739.70081331773792</v>
      </c>
      <c r="I133" s="21">
        <f>CHITEST($C$133:$D$133,$G$133:$H$133)</f>
        <v>0.12861758158234832</v>
      </c>
      <c r="J133" s="18">
        <f>SUM($C$133,$D$133)</f>
        <v>1183</v>
      </c>
      <c r="K133" s="19">
        <f>($J$133/2257*100)</f>
        <v>52.414709791758973</v>
      </c>
      <c r="O133" s="19">
        <f>(($C$133 - $G$133)^2 / $G$133) + (($D$133 - $H$133)^2 / $H$133)</f>
        <v>2.3091111232298842</v>
      </c>
      <c r="P133" s="19">
        <f>SQRT($O$133 / $J$133)</f>
        <v>4.4180440771577005E-2</v>
      </c>
      <c r="Q133">
        <f t="shared" si="8"/>
        <v>0.72106607941952883</v>
      </c>
      <c r="R133">
        <f t="shared" si="9"/>
        <v>8.6579573024146442E-2</v>
      </c>
      <c r="S133">
        <f t="shared" si="10"/>
        <v>0.60852306697497749</v>
      </c>
      <c r="T133" s="34">
        <f t="shared" si="11"/>
        <v>0.85442330637374198</v>
      </c>
    </row>
    <row r="134" spans="1:20">
      <c r="A134" s="20" t="s">
        <v>118</v>
      </c>
      <c r="B134" s="20" t="s">
        <v>485</v>
      </c>
      <c r="C134" s="18">
        <v>478</v>
      </c>
      <c r="D134" s="18">
        <v>761</v>
      </c>
      <c r="E134" s="19">
        <f>($C$134/881)*100</f>
        <v>54.256526674233832</v>
      </c>
      <c r="F134" s="19">
        <f>($D$134/1376)*100</f>
        <v>55.305232558139537</v>
      </c>
      <c r="G134" s="29">
        <f>($M$2 * ($C$134 + $D$134)) / $N$2</f>
        <v>464.28376356662949</v>
      </c>
      <c r="H134" s="29">
        <f>($L$2 * ($C$134 + $D$134)) / $N$2</f>
        <v>774.71623643337045</v>
      </c>
      <c r="I134" s="21">
        <f>CHITEST($C$134:$D$134,$G$134:$H$134)</f>
        <v>0.42080720956008455</v>
      </c>
      <c r="J134" s="18">
        <f>SUM($C$134,$D$134)</f>
        <v>1239</v>
      </c>
      <c r="K134" s="19">
        <f>($J$134/2257*100)</f>
        <v>54.89587948604342</v>
      </c>
      <c r="O134" s="19">
        <f>(($C$134 - $G$134)^2 / $G$134) + (($D$134 - $H$134)^2 / $H$134)</f>
        <v>0.64805979257906021</v>
      </c>
      <c r="P134" s="19">
        <f>SQRT($O$134 / $J$134)</f>
        <v>2.2870301267094575E-2</v>
      </c>
      <c r="Q134">
        <f t="shared" si="8"/>
        <v>0.95854677305230496</v>
      </c>
      <c r="R134">
        <f t="shared" si="9"/>
        <v>8.6680542766597549E-2</v>
      </c>
      <c r="S134">
        <f t="shared" si="10"/>
        <v>0.80877802353883166</v>
      </c>
      <c r="T134" s="34">
        <f t="shared" si="11"/>
        <v>1.1360495579599195</v>
      </c>
    </row>
    <row r="135" spans="1:20">
      <c r="A135" s="20" t="s">
        <v>119</v>
      </c>
      <c r="B135" s="20" t="s">
        <v>486</v>
      </c>
      <c r="C135" s="18">
        <v>373</v>
      </c>
      <c r="D135" s="18">
        <v>616</v>
      </c>
      <c r="E135" s="19">
        <f>($C$135/881)*100</f>
        <v>42.338251986379113</v>
      </c>
      <c r="F135" s="19">
        <f>($D$135/1376)*100</f>
        <v>44.767441860465119</v>
      </c>
      <c r="G135" s="29">
        <f>($M$2 * ($C$135 + $D$135)) / $N$2</f>
        <v>370.60261676141772</v>
      </c>
      <c r="H135" s="29">
        <f>($L$2 * ($C$135 + $D$135)) / $N$2</f>
        <v>618.39738323858228</v>
      </c>
      <c r="I135" s="21">
        <f>CHITEST($C$135:$D$135,$G$135:$H$135)</f>
        <v>0.87486024154291298</v>
      </c>
      <c r="J135" s="18">
        <f>SUM($C$135,$D$135)</f>
        <v>989</v>
      </c>
      <c r="K135" s="19">
        <f>($J$135/2257*100)</f>
        <v>43.819229065130706</v>
      </c>
      <c r="O135" s="19">
        <f>(($C$135 - $G$135)^2 / $G$135) + (($D$135 - $H$135)^2 / $H$135)</f>
        <v>2.4802479318039476E-2</v>
      </c>
      <c r="P135" s="19">
        <f>SQRT($O$135 / $J$135)</f>
        <v>5.0078279792548138E-3</v>
      </c>
      <c r="Q135">
        <f t="shared" si="8"/>
        <v>0.90589528581654577</v>
      </c>
      <c r="R135">
        <f t="shared" si="9"/>
        <v>8.7112772780584768E-2</v>
      </c>
      <c r="S135">
        <f t="shared" si="10"/>
        <v>0.76370583793607127</v>
      </c>
      <c r="T135" s="34">
        <f t="shared" si="11"/>
        <v>1.0745580668630901</v>
      </c>
    </row>
    <row r="136" spans="1:20">
      <c r="A136" s="20" t="s">
        <v>120</v>
      </c>
      <c r="B136" s="20" t="s">
        <v>386</v>
      </c>
      <c r="C136" s="18">
        <v>234</v>
      </c>
      <c r="D136" s="18">
        <v>386</v>
      </c>
      <c r="E136" s="19">
        <f>($C$136/881)*100</f>
        <v>26.560726447219068</v>
      </c>
      <c r="F136" s="19">
        <f>($D$136/1376)*100</f>
        <v>28.052325581395348</v>
      </c>
      <c r="G136" s="29">
        <f>($M$2 * ($C$136 + $D$136)) / $N$2</f>
        <v>232.32924407692516</v>
      </c>
      <c r="H136" s="29">
        <f>($L$2 * ($C$136 + $D$136)) / $N$2</f>
        <v>387.67075592307481</v>
      </c>
      <c r="I136" s="21">
        <f>CHITEST($C$136:$D$136,$G$136:$H$136)</f>
        <v>0.88975056443969958</v>
      </c>
      <c r="J136" s="18">
        <f>SUM($C$136,$D$136)</f>
        <v>620</v>
      </c>
      <c r="K136" s="19">
        <f>($J$136/2257*100)</f>
        <v>27.470093043863535</v>
      </c>
      <c r="O136" s="19">
        <f>(($C$136 - $G$136)^2 / $G$136) + (($D$136 - $H$136)^2 / $H$136)</f>
        <v>1.9215460105415243E-2</v>
      </c>
      <c r="P136" s="19">
        <f>SQRT($O$136 / $J$136)</f>
        <v>5.5671067521091619E-3</v>
      </c>
      <c r="Q136">
        <f t="shared" si="8"/>
        <v>0.92759728039336586</v>
      </c>
      <c r="R136">
        <f t="shared" si="9"/>
        <v>9.7056034911955094E-2</v>
      </c>
      <c r="S136">
        <f t="shared" si="10"/>
        <v>0.76690876595061741</v>
      </c>
      <c r="T136" s="34">
        <f t="shared" si="11"/>
        <v>1.1219544655049276</v>
      </c>
    </row>
    <row r="137" spans="1:20">
      <c r="B137" s="20"/>
      <c r="I137" s="21"/>
      <c r="O137" s="19"/>
      <c r="P137" s="19"/>
      <c r="R137"/>
      <c r="S137"/>
      <c r="T137" s="34"/>
    </row>
    <row r="138" spans="1:20">
      <c r="A138" s="16" t="s">
        <v>56</v>
      </c>
      <c r="B138" s="20"/>
      <c r="I138" s="21"/>
      <c r="O138" s="19"/>
      <c r="P138" s="19"/>
      <c r="R138"/>
      <c r="S138"/>
      <c r="T138" s="34"/>
    </row>
    <row r="139" spans="1:20">
      <c r="A139" s="20" t="s">
        <v>123</v>
      </c>
      <c r="B139" s="20" t="s">
        <v>487</v>
      </c>
      <c r="C139" s="18">
        <v>336</v>
      </c>
      <c r="D139" s="18">
        <v>563</v>
      </c>
      <c r="E139" s="19">
        <f>($C$139/881)*100</f>
        <v>38.138479001135074</v>
      </c>
      <c r="F139" s="19">
        <f>($D$139/1376)*100</f>
        <v>40.915697674418603</v>
      </c>
      <c r="G139" s="29">
        <f>($M$2 * ($C$139 + $D$139)) / $N$2</f>
        <v>336.87740391154148</v>
      </c>
      <c r="H139" s="29">
        <f>($L$2 * ($C$139 + $D$139)) / $N$2</f>
        <v>562.12259608845852</v>
      </c>
      <c r="I139" s="21">
        <f>CHITEST($C$139:$D$139,$G$139:$H$139)</f>
        <v>0.95179372910153937</v>
      </c>
      <c r="J139" s="18">
        <f>SUM($C$139,$D$139)</f>
        <v>899</v>
      </c>
      <c r="K139" s="19">
        <f>($J$139/2257*100)</f>
        <v>39.831634913602123</v>
      </c>
      <c r="O139" s="19">
        <f>(($C$139 - $G$139)^2 / $G$139) + (($D$139 - $H$139)^2 / $H$139)</f>
        <v>3.6547350578448054E-3</v>
      </c>
      <c r="P139" s="19">
        <f>SQRT($O$139 / $J$139)</f>
        <v>2.0162672859666158E-3</v>
      </c>
      <c r="Q139">
        <f t="shared" si="8"/>
        <v>0.89027653299004361</v>
      </c>
      <c r="R139">
        <f t="shared" si="9"/>
        <v>8.84152933372684E-2</v>
      </c>
      <c r="S139">
        <f t="shared" si="10"/>
        <v>0.74862497017818308</v>
      </c>
      <c r="T139" s="34">
        <f t="shared" si="11"/>
        <v>1.0587307888008655</v>
      </c>
    </row>
    <row r="140" spans="1:20">
      <c r="A140" s="20" t="s">
        <v>124</v>
      </c>
      <c r="B140" s="20" t="s">
        <v>488</v>
      </c>
      <c r="C140" s="18">
        <v>363</v>
      </c>
      <c r="D140" s="18">
        <v>557</v>
      </c>
      <c r="E140" s="19">
        <f>($C$140/881)*100</f>
        <v>41.203178206583431</v>
      </c>
      <c r="F140" s="19">
        <f>($D$140/1376)*100</f>
        <v>40.479651162790695</v>
      </c>
      <c r="G140" s="29">
        <f>($M$2 * ($C$140 + $D$140)) / $N$2</f>
        <v>344.74662024317928</v>
      </c>
      <c r="H140" s="29">
        <f>($L$2 * ($C$140 + $D$140)) / $N$2</f>
        <v>575.25337975682066</v>
      </c>
      <c r="I140" s="21">
        <f>CHITEST($C$140:$D$140,$G$140:$H$140)</f>
        <v>0.21377663302903677</v>
      </c>
      <c r="J140" s="18">
        <f>SUM($C$140,$D$140)</f>
        <v>920</v>
      </c>
      <c r="K140" s="19">
        <f>($J$140/2257*100)</f>
        <v>40.762073548958796</v>
      </c>
      <c r="O140" s="19">
        <f>(($C$140 - $G$140)^2 / $G$140) + (($D$140 - $H$140)^2 / $H$140)</f>
        <v>1.545664419376557</v>
      </c>
      <c r="P140" s="19">
        <f>SQRT($O$140 / $J$140)</f>
        <v>4.0988657224425816E-2</v>
      </c>
      <c r="Q140">
        <f t="shared" si="8"/>
        <v>1.0303993400941336</v>
      </c>
      <c r="R140">
        <f t="shared" si="9"/>
        <v>8.7759080581940416E-2</v>
      </c>
      <c r="S140">
        <f t="shared" si="10"/>
        <v>0.86756801913556647</v>
      </c>
      <c r="T140" s="34">
        <f t="shared" si="11"/>
        <v>1.2237919986081469</v>
      </c>
    </row>
    <row r="141" spans="1:20">
      <c r="A141" s="20" t="s">
        <v>125</v>
      </c>
      <c r="B141" s="20" t="s">
        <v>489</v>
      </c>
      <c r="C141" s="18">
        <v>511</v>
      </c>
      <c r="D141" s="18">
        <v>856</v>
      </c>
      <c r="E141" s="19">
        <f>($C$141/881)*100</f>
        <v>58.002270147559585</v>
      </c>
      <c r="F141" s="19">
        <f>($D$141/1376)*100</f>
        <v>62.209302325581397</v>
      </c>
      <c r="G141" s="29">
        <f>($M$2 * ($C$141 + $D$141)) / $N$2</f>
        <v>512.24851073089792</v>
      </c>
      <c r="H141" s="29">
        <f>($L$2 * ($C$141 + $D$141)) / $N$2</f>
        <v>854.75148926910208</v>
      </c>
      <c r="I141" s="21">
        <f>CHITEST($C$141:$D$141,$G$141:$H$141)</f>
        <v>0.94438343461704743</v>
      </c>
      <c r="J141" s="18">
        <f>SUM($C$141,$D$141)</f>
        <v>1367</v>
      </c>
      <c r="K141" s="19">
        <f>($J$141/2257*100)</f>
        <v>60.56712450155073</v>
      </c>
      <c r="O141" s="19">
        <f>(($C$141 - $G$141)^2 / $G$141) + (($D$141 - $H$141)^2 / $H$141)</f>
        <v>4.8666767721058588E-3</v>
      </c>
      <c r="P141" s="19">
        <f>SQRT($O$141 / $J$141)</f>
        <v>1.8868266171870236E-3</v>
      </c>
      <c r="Q141">
        <f t="shared" si="8"/>
        <v>0.83897448850719891</v>
      </c>
      <c r="R141">
        <f t="shared" si="9"/>
        <v>8.8039485955289751E-2</v>
      </c>
      <c r="S141">
        <f t="shared" si="10"/>
        <v>0.70600541434584019</v>
      </c>
      <c r="T141" s="34">
        <f t="shared" si="11"/>
        <v>0.99698696081262328</v>
      </c>
    </row>
    <row r="142" spans="1:20">
      <c r="A142" s="20" t="s">
        <v>126</v>
      </c>
      <c r="B142" s="20" t="s">
        <v>490</v>
      </c>
      <c r="C142" s="18">
        <v>108</v>
      </c>
      <c r="D142" s="18">
        <v>221</v>
      </c>
      <c r="E142" s="19">
        <f>($C$142/881)*100</f>
        <v>12.258796821793416</v>
      </c>
      <c r="F142" s="19">
        <f>($D$142/1376)*100</f>
        <v>16.061046511627907</v>
      </c>
      <c r="G142" s="29">
        <f>($M$2 * ($C$142 + $D$142)) / $N$2</f>
        <v>123.28438919565868</v>
      </c>
      <c r="H142" s="29">
        <f>($L$2 * ($C$142 + $D$142)) / $N$2</f>
        <v>205.71561080434131</v>
      </c>
      <c r="I142" s="21">
        <f>CHITEST($C$142:$D$142,$G$142:$H$142)</f>
        <v>8.1711971955359841E-2</v>
      </c>
      <c r="J142" s="18">
        <f>SUM($C$142,$D$142)</f>
        <v>329</v>
      </c>
      <c r="K142" s="19">
        <f>($J$142/2257*100)</f>
        <v>14.576871953921133</v>
      </c>
      <c r="O142" s="19">
        <f>(($C$142 - $G$142)^2 / $G$142) + (($D$142 - $H$142)^2 / $H$142)</f>
        <v>3.0305170818677092</v>
      </c>
      <c r="P142" s="19">
        <f>SQRT($O$142 / $J$142)</f>
        <v>9.5975507923524148E-2</v>
      </c>
      <c r="Q142">
        <f t="shared" si="8"/>
        <v>0.73018679060837188</v>
      </c>
      <c r="R142">
        <f t="shared" si="9"/>
        <v>0.12626800094913299</v>
      </c>
      <c r="S142">
        <f t="shared" si="10"/>
        <v>0.570101888778201</v>
      </c>
      <c r="T142" s="34">
        <f t="shared" si="11"/>
        <v>0.93522361471492332</v>
      </c>
    </row>
    <row r="143" spans="1:20">
      <c r="B143" s="20"/>
      <c r="I143" s="21"/>
      <c r="O143" s="19"/>
      <c r="P143" s="19"/>
      <c r="R143"/>
      <c r="S143"/>
      <c r="T143" s="34"/>
    </row>
    <row r="144" spans="1:20">
      <c r="A144" s="16" t="s">
        <v>57</v>
      </c>
      <c r="B144" s="20"/>
      <c r="I144" s="21"/>
      <c r="O144" s="19"/>
      <c r="P144" s="19"/>
      <c r="R144"/>
      <c r="S144"/>
      <c r="T144" s="34"/>
    </row>
    <row r="145" spans="1:20">
      <c r="A145" s="20" t="s">
        <v>127</v>
      </c>
      <c r="B145" s="20" t="s">
        <v>491</v>
      </c>
      <c r="C145" s="18">
        <v>269</v>
      </c>
      <c r="D145" s="18">
        <v>491</v>
      </c>
      <c r="E145" s="19">
        <f>($C$145/881)*100</f>
        <v>30.533484676503974</v>
      </c>
      <c r="F145" s="19">
        <f>($D$145/1376)*100</f>
        <v>35.683139534883722</v>
      </c>
      <c r="G145" s="29">
        <f>($M$2 * ($C$145 + $D$145)) / $N$2</f>
        <v>284.79068628784376</v>
      </c>
      <c r="H145" s="29">
        <f>($L$2 * ($C$145 + $D$145)) / $N$2</f>
        <v>475.20931371215624</v>
      </c>
      <c r="I145" s="21">
        <f>CHITEST($C$145:$D$145,$G$145:$H$145)</f>
        <v>0.23668209695639489</v>
      </c>
      <c r="J145" s="18">
        <f>SUM($C$145,$D$145)</f>
        <v>760</v>
      </c>
      <c r="K145" s="19">
        <f>($J$145/2257*100)</f>
        <v>33.673017279574658</v>
      </c>
      <c r="O145" s="19">
        <f>(($C$145 - $G$145)^2 / $G$145) + (($D$145 - $H$145)^2 / $H$145)</f>
        <v>1.4002477301035738</v>
      </c>
      <c r="P145" s="19">
        <f>SQRT($O$145 / $J$145)</f>
        <v>4.2923550922780052E-2</v>
      </c>
      <c r="Q145">
        <f t="shared" si="8"/>
        <v>0.79225070883750659</v>
      </c>
      <c r="R145">
        <f t="shared" si="9"/>
        <v>9.2293349856254273E-2</v>
      </c>
      <c r="S145">
        <f t="shared" si="10"/>
        <v>0.66115144432604567</v>
      </c>
      <c r="T145" s="34">
        <f t="shared" si="11"/>
        <v>0.94934555621117522</v>
      </c>
    </row>
    <row r="146" spans="1:20">
      <c r="A146" s="20" t="s">
        <v>128</v>
      </c>
      <c r="B146" s="20" t="s">
        <v>387</v>
      </c>
      <c r="C146" s="18">
        <v>231</v>
      </c>
      <c r="D146" s="18">
        <v>428</v>
      </c>
      <c r="E146" s="19">
        <f>($C$146/881)*100</f>
        <v>26.220204313280366</v>
      </c>
      <c r="F146" s="19">
        <f>($D$146/1376)*100</f>
        <v>31.104651162790699</v>
      </c>
      <c r="G146" s="29">
        <f>($M$2 * ($C$146 + $D$146)) / $N$2</f>
        <v>246.94350297853819</v>
      </c>
      <c r="H146" s="29">
        <f>($L$2 * ($C$146 + $D$146)) / $N$2</f>
        <v>412.05649702146178</v>
      </c>
      <c r="I146" s="21">
        <f>CHITEST($C$146:$D$146,$G$146:$H$146)</f>
        <v>0.19946867227147563</v>
      </c>
      <c r="J146" s="18">
        <f>SUM($C$146,$D$146)</f>
        <v>659</v>
      </c>
      <c r="K146" s="19">
        <f>($J$146/2257*100)</f>
        <v>29.19805050952592</v>
      </c>
      <c r="O146" s="19">
        <f>(($C$146 - $G$146)^2 / $G$146) + (($D$146 - $H$146)^2 / $H$146)</f>
        <v>1.646260425993864</v>
      </c>
      <c r="P146" s="19">
        <f>SQRT($O$146 / $J$146)</f>
        <v>4.9981186536315267E-2</v>
      </c>
      <c r="Q146">
        <f t="shared" si="8"/>
        <v>0.78716031631919492</v>
      </c>
      <c r="R146">
        <f t="shared" si="9"/>
        <v>9.6222485866203925E-2</v>
      </c>
      <c r="S146">
        <f t="shared" si="10"/>
        <v>0.65186394118740998</v>
      </c>
      <c r="T146" s="34">
        <f t="shared" si="11"/>
        <v>0.95053787215021712</v>
      </c>
    </row>
    <row r="147" spans="1:20" ht="25.5">
      <c r="A147" s="32" t="s">
        <v>129</v>
      </c>
      <c r="B147" s="20" t="s">
        <v>492</v>
      </c>
      <c r="C147" s="18">
        <v>209</v>
      </c>
      <c r="D147" s="18">
        <v>381</v>
      </c>
      <c r="E147" s="19">
        <f>($C$147/881)*100</f>
        <v>23.723041997729851</v>
      </c>
      <c r="F147" s="19">
        <f>($D$147/1376)*100</f>
        <v>27.688953488372093</v>
      </c>
      <c r="G147" s="29">
        <f>($M$2 * ($C$147 + $D$147)) / $N$2</f>
        <v>221.08750646029975</v>
      </c>
      <c r="H147" s="29">
        <f>($L$2 * ($C$147 + $D$147)) / $N$2</f>
        <v>368.91249353970022</v>
      </c>
      <c r="I147" s="21">
        <f>CHITEST($C$147:$D$147,$G$147:$H$147)</f>
        <v>0.30392106953479242</v>
      </c>
      <c r="J147" s="18">
        <f>SUM($C$147,$D$147)</f>
        <v>590</v>
      </c>
      <c r="K147" s="19">
        <f>($J$147/2257*100)</f>
        <v>26.140894993354006</v>
      </c>
      <c r="O147" s="19">
        <f>(($C$147 - $G$147)^2 / $G$147) + (($D$147 - $H$147)^2 / $H$147)</f>
        <v>1.0569097037897932</v>
      </c>
      <c r="P147" s="19">
        <f>SQRT($O$147 / $J$147)</f>
        <v>4.2324607255174077E-2</v>
      </c>
      <c r="Q147">
        <f t="shared" si="8"/>
        <v>0.81222269091363575</v>
      </c>
      <c r="R147">
        <f t="shared" si="9"/>
        <v>9.95112118052493E-2</v>
      </c>
      <c r="S147">
        <f t="shared" si="10"/>
        <v>0.66829692769855409</v>
      </c>
      <c r="T147" s="34">
        <f t="shared" si="11"/>
        <v>0.98714459440483648</v>
      </c>
    </row>
    <row r="148" spans="1:20">
      <c r="A148" s="20" t="s">
        <v>130</v>
      </c>
      <c r="B148" s="20" t="s">
        <v>493</v>
      </c>
      <c r="C148" s="18">
        <v>149</v>
      </c>
      <c r="D148" s="18">
        <v>241</v>
      </c>
      <c r="E148" s="19">
        <f>($C$148/881)*100</f>
        <v>16.912599318955731</v>
      </c>
      <c r="F148" s="19">
        <f>($D$148/1376)*100</f>
        <v>17.51453488372093</v>
      </c>
      <c r="G148" s="29">
        <f>($M$2 * ($C$148 + $D$148)) / $N$2</f>
        <v>146.14258901613036</v>
      </c>
      <c r="H148" s="29">
        <f>($L$2 * ($C$148 + $D$148)) / $N$2</f>
        <v>243.85741098386964</v>
      </c>
      <c r="I148" s="21">
        <f>CHITEST($C$148:$D$148,$G$148:$H$148)</f>
        <v>0.76500441518379358</v>
      </c>
      <c r="J148" s="18">
        <f>SUM($C$148,$D$148)</f>
        <v>390</v>
      </c>
      <c r="K148" s="19">
        <f>($J$148/2257*100)</f>
        <v>17.279574656623836</v>
      </c>
      <c r="O148" s="19">
        <f>(($C$148 - $G$148)^2 / $G$148) + (($D$148 - $H$148)^2 / $H$148)</f>
        <v>8.9350558433221983E-2</v>
      </c>
      <c r="P148" s="19">
        <f>SQRT($O$148 / $J$148)</f>
        <v>1.5136181684381978E-2</v>
      </c>
      <c r="Q148">
        <f t="shared" si="8"/>
        <v>0.95863660068476075</v>
      </c>
      <c r="R148">
        <f t="shared" si="9"/>
        <v>0.11449001911361467</v>
      </c>
      <c r="S148">
        <f t="shared" si="10"/>
        <v>0.76594596840960971</v>
      </c>
      <c r="T148" s="34">
        <f t="shared" si="11"/>
        <v>1.1998028190951748</v>
      </c>
    </row>
    <row r="149" spans="1:20">
      <c r="A149" s="20" t="s">
        <v>131</v>
      </c>
      <c r="B149" s="20" t="s">
        <v>494</v>
      </c>
      <c r="C149" s="18">
        <v>126</v>
      </c>
      <c r="D149" s="18">
        <v>195</v>
      </c>
      <c r="E149" s="19">
        <f>($C$149/881)*100</f>
        <v>14.301929625425652</v>
      </c>
      <c r="F149" s="19">
        <f>($D$149/1376)*100</f>
        <v>14.171511627906977</v>
      </c>
      <c r="G149" s="29">
        <f>($M$2 * ($C$149 + $D$149)) / $N$2</f>
        <v>120.2865924978919</v>
      </c>
      <c r="H149" s="29">
        <f>($L$2 * ($C$149 + $D$149)) / $N$2</f>
        <v>200.71340750210811</v>
      </c>
      <c r="I149" s="21">
        <f>CHITEST($C$149:$D$149,$G$149:$H$149)</f>
        <v>0.51002681506747183</v>
      </c>
      <c r="J149" s="18">
        <f>SUM($C$149,$D$149)</f>
        <v>321</v>
      </c>
      <c r="K149" s="19">
        <f>($J$149/2257*100)</f>
        <v>14.222419140451928</v>
      </c>
      <c r="O149" s="19">
        <f>(($C$149 - $G$149)^2 / $G$149) + (($D$149 - $H$149)^2 / $H$149)</f>
        <v>0.43401209000411389</v>
      </c>
      <c r="P149" s="19">
        <f>SQRT($O$149 / $J$149)</f>
        <v>3.677040366493952E-2</v>
      </c>
      <c r="Q149">
        <f t="shared" si="8"/>
        <v>1.0107386653082018</v>
      </c>
      <c r="R149">
        <f t="shared" si="9"/>
        <v>0.12343401648968466</v>
      </c>
      <c r="S149">
        <f t="shared" si="10"/>
        <v>0.79354164558517337</v>
      </c>
      <c r="T149" s="34">
        <f t="shared" si="11"/>
        <v>1.2873837878989483</v>
      </c>
    </row>
    <row r="150" spans="1:20">
      <c r="A150" s="20" t="s">
        <v>132</v>
      </c>
      <c r="B150" s="20" t="s">
        <v>495</v>
      </c>
      <c r="C150" s="18">
        <v>260</v>
      </c>
      <c r="D150" s="18">
        <v>420</v>
      </c>
      <c r="E150" s="19">
        <f>($C$150/881)*100</f>
        <v>29.511918274687854</v>
      </c>
      <c r="F150" s="19">
        <f>($D$150/1376)*100</f>
        <v>30.523255813953487</v>
      </c>
      <c r="G150" s="29">
        <f>($M$2 * ($C$150 + $D$150)) / $N$2</f>
        <v>254.81271931017599</v>
      </c>
      <c r="H150" s="29">
        <f>($L$2 * ($C$150 + $D$150)) / $N$2</f>
        <v>425.18728068982404</v>
      </c>
      <c r="I150" s="21">
        <f>CHITEST($C$150:$D$150,$G$150:$H$150)</f>
        <v>0.68110605016748893</v>
      </c>
      <c r="J150" s="18">
        <f>SUM($C$150,$D$150)</f>
        <v>680</v>
      </c>
      <c r="K150" s="19">
        <f>($J$150/2257*100)</f>
        <v>30.128489144882586</v>
      </c>
      <c r="O150" s="19">
        <f>(($C$150 - $G$150)^2 / $G$150) + (($D$150 - $H$150)^2 / $H$150)</f>
        <v>0.16888343101056091</v>
      </c>
      <c r="P150" s="19">
        <f>SQRT($O$150 / $J$150)</f>
        <v>1.5759377740895628E-2</v>
      </c>
      <c r="Q150">
        <f t="shared" si="8"/>
        <v>0.95299440226976473</v>
      </c>
      <c r="R150">
        <f t="shared" si="9"/>
        <v>9.4251988254045779E-2</v>
      </c>
      <c r="S150">
        <f t="shared" si="10"/>
        <v>0.79224852189200834</v>
      </c>
      <c r="T150" s="34">
        <f t="shared" si="11"/>
        <v>1.1463553489359528</v>
      </c>
    </row>
    <row r="151" spans="1:20">
      <c r="B151" s="20"/>
      <c r="I151" s="21"/>
    </row>
    <row r="152" spans="1:20">
      <c r="I152" s="21"/>
    </row>
    <row r="153" spans="1:20">
      <c r="I153" s="21"/>
    </row>
    <row r="154" spans="1:20">
      <c r="I154" s="21"/>
    </row>
    <row r="155" spans="1:20">
      <c r="I155" s="21"/>
    </row>
    <row r="156" spans="1:20">
      <c r="I156" s="21"/>
    </row>
    <row r="157" spans="1:20">
      <c r="I157" s="21"/>
    </row>
    <row r="158" spans="1:20">
      <c r="I158" s="21"/>
    </row>
    <row r="159" spans="1:20">
      <c r="I159" s="21"/>
    </row>
    <row r="160" spans="1:20">
      <c r="I160" s="21"/>
    </row>
    <row r="161" spans="9:9">
      <c r="I161" s="21"/>
    </row>
    <row r="162" spans="9:9">
      <c r="I162" s="21"/>
    </row>
    <row r="163" spans="9:9">
      <c r="I163" s="21"/>
    </row>
    <row r="164" spans="9:9">
      <c r="I164" s="21"/>
    </row>
    <row r="165" spans="9:9">
      <c r="I165" s="21"/>
    </row>
    <row r="166" spans="9:9">
      <c r="I166" s="21"/>
    </row>
    <row r="167" spans="9:9">
      <c r="I167" s="21"/>
    </row>
    <row r="184" spans="9:9">
      <c r="I184" s="21"/>
    </row>
    <row r="185" spans="9:9">
      <c r="I185" s="21"/>
    </row>
    <row r="186" spans="9:9">
      <c r="I186" s="21"/>
    </row>
    <row r="187" spans="9:9">
      <c r="I187" s="21"/>
    </row>
    <row r="188" spans="9:9">
      <c r="I188" s="21"/>
    </row>
    <row r="189" spans="9:9">
      <c r="I189" s="21"/>
    </row>
    <row r="190" spans="9:9">
      <c r="I190" s="21"/>
    </row>
    <row r="191" spans="9:9">
      <c r="I191" s="21"/>
    </row>
    <row r="192" spans="9:9">
      <c r="I192" s="21"/>
    </row>
  </sheetData>
  <sortState xmlns:xlrd2="http://schemas.microsoft.com/office/spreadsheetml/2017/richdata2" ref="O63:P69">
    <sortCondition ref="O69"/>
  </sortState>
  <conditionalFormatting sqref="I1:I86 I88:I1048576">
    <cfRule type="cellIs" dxfId="6" priority="1" operator="lessThan">
      <formula>0.05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46C8-842B-424D-853B-115C43857F48}">
  <sheetPr codeName="Blad2"/>
  <dimension ref="A1:U182"/>
  <sheetViews>
    <sheetView zoomScale="110" zoomScaleNormal="110" workbookViewId="0">
      <selection activeCell="T3" sqref="T3"/>
    </sheetView>
  </sheetViews>
  <sheetFormatPr defaultRowHeight="12.75"/>
  <cols>
    <col min="1" max="1" width="75.42578125" bestFit="1" customWidth="1"/>
    <col min="2" max="2" width="69.7109375" bestFit="1" customWidth="1"/>
    <col min="3" max="3" width="17.7109375" bestFit="1" customWidth="1"/>
    <col min="4" max="4" width="21" bestFit="1" customWidth="1"/>
    <col min="5" max="5" width="15.28515625" style="5" bestFit="1" customWidth="1"/>
    <col min="6" max="6" width="18.5703125" style="5" bestFit="1" customWidth="1"/>
    <col min="7" max="7" width="22" style="27" bestFit="1" customWidth="1"/>
    <col min="8" max="8" width="25.28515625" style="27" bestFit="1" customWidth="1"/>
    <col min="9" max="9" width="10.5703125" style="10" bestFit="1" customWidth="1"/>
    <col min="10" max="10" width="18.85546875" bestFit="1" customWidth="1"/>
    <col min="11" max="11" width="16.28515625" bestFit="1" customWidth="1"/>
    <col min="12" max="12" width="27.85546875" bestFit="1" customWidth="1"/>
    <col min="13" max="13" width="24.5703125" bestFit="1" customWidth="1"/>
    <col min="14" max="14" width="14.28515625" bestFit="1" customWidth="1"/>
    <col min="16" max="16" width="5.85546875" bestFit="1" customWidth="1"/>
    <col min="17" max="17" width="4.85546875" style="7" bestFit="1" customWidth="1"/>
    <col min="19" max="19" width="10.42578125" customWidth="1"/>
    <col min="20" max="20" width="17.5703125" customWidth="1"/>
    <col min="21" max="21" width="17.140625" customWidth="1"/>
  </cols>
  <sheetData>
    <row r="1" spans="1:21">
      <c r="A1" t="s">
        <v>0</v>
      </c>
      <c r="B1" s="2" t="s">
        <v>333</v>
      </c>
      <c r="C1" s="16" t="s">
        <v>321</v>
      </c>
      <c r="D1" s="16" t="s">
        <v>322</v>
      </c>
      <c r="E1" s="24" t="s">
        <v>323</v>
      </c>
      <c r="F1" s="24" t="s">
        <v>324</v>
      </c>
      <c r="G1" s="26" t="s">
        <v>325</v>
      </c>
      <c r="H1" s="26" t="s">
        <v>326</v>
      </c>
      <c r="I1" s="25" t="s">
        <v>332</v>
      </c>
      <c r="J1" s="24" t="s">
        <v>329</v>
      </c>
      <c r="K1" s="24" t="s">
        <v>327</v>
      </c>
      <c r="L1" s="16" t="s">
        <v>328</v>
      </c>
      <c r="M1" s="16" t="s">
        <v>330</v>
      </c>
      <c r="N1" s="16" t="s">
        <v>331</v>
      </c>
      <c r="O1" s="16"/>
      <c r="P1" s="16" t="s">
        <v>319</v>
      </c>
      <c r="Q1" s="16" t="s">
        <v>320</v>
      </c>
      <c r="R1" s="2" t="s">
        <v>620</v>
      </c>
      <c r="S1" s="2" t="s">
        <v>621</v>
      </c>
      <c r="T1" s="2" t="s">
        <v>623</v>
      </c>
      <c r="U1" s="2" t="s">
        <v>622</v>
      </c>
    </row>
    <row r="2" spans="1:21">
      <c r="A2" s="2" t="s">
        <v>1</v>
      </c>
      <c r="J2" s="14"/>
      <c r="K2" s="15"/>
      <c r="L2">
        <f>SUM($D$3:$D$139)</f>
        <v>44348</v>
      </c>
      <c r="M2">
        <f>SUM($C$3:$C$139)</f>
        <v>29714</v>
      </c>
      <c r="N2">
        <f>$L$2 + $M$2</f>
        <v>74062</v>
      </c>
      <c r="P2" s="14"/>
      <c r="Q2" s="18"/>
    </row>
    <row r="3" spans="1:21">
      <c r="A3" s="1" t="s">
        <v>136</v>
      </c>
      <c r="B3" s="30" t="s">
        <v>553</v>
      </c>
      <c r="C3">
        <v>379</v>
      </c>
      <c r="D3">
        <v>477</v>
      </c>
      <c r="E3" s="5">
        <f>($C$3/881)*100</f>
        <v>43.019296254256531</v>
      </c>
      <c r="F3" s="5">
        <f>($D$3/1376)*100</f>
        <v>34.665697674418603</v>
      </c>
      <c r="G3" s="27">
        <f>($M$2 * ($C$3 + $D$3)) / $N$2</f>
        <v>343.43096324700929</v>
      </c>
      <c r="H3" s="27">
        <f>($L$2 * ($C$3 + $D$3)) / $N$2</f>
        <v>512.56903675299077</v>
      </c>
      <c r="I3" s="9">
        <f>CHITEST($C$3:$D$3,$G$3:$H$3)</f>
        <v>1.3125324297317761E-2</v>
      </c>
      <c r="J3" s="14">
        <f>SUM($C$3,$D$3)</f>
        <v>856</v>
      </c>
      <c r="K3" s="15">
        <f>($J$3/2257*100)</f>
        <v>37.926451041205141</v>
      </c>
      <c r="P3" s="15">
        <f>(($C$3 - $G$3)^2 / $G$3) + (($D$3 - $H$3)^2 / $H$3)</f>
        <v>6.1521392556588541</v>
      </c>
      <c r="Q3" s="19">
        <f>SQRT($P$3 / $J$3)</f>
        <v>8.4776639292289263E-2</v>
      </c>
      <c r="R3">
        <f xml:space="preserve"> (C3 / (881 - C3)) / (D3 / (1376 - D3))</f>
        <v>1.4229079489171199</v>
      </c>
      <c r="S3">
        <f>SQRT(1/C3 + 1/(881 - C3) + 1/D3 + 1/(1376 - D3))</f>
        <v>8.8540032815281444E-2</v>
      </c>
      <c r="T3">
        <f>EXP(LN((C3 / (881 - C3)) / (D3 / (1376 - D3))) - 1.96 * S3)</f>
        <v>1.1962171046192303</v>
      </c>
      <c r="U3" s="34">
        <f>EXP(LN((C3 / (881 - C3)) / (D3 / (1376 - D3))) + 1.96 * S3)</f>
        <v>1.6925581679723598</v>
      </c>
    </row>
    <row r="4" spans="1:21">
      <c r="A4" s="1" t="s">
        <v>137</v>
      </c>
      <c r="B4" s="30" t="s">
        <v>554</v>
      </c>
      <c r="C4">
        <v>313</v>
      </c>
      <c r="D4">
        <v>484</v>
      </c>
      <c r="E4" s="5">
        <f>($C$4/881)*100</f>
        <v>35.527809307604997</v>
      </c>
      <c r="F4" s="5">
        <f>($D$4/1376)*100</f>
        <v>35.174418604651166</v>
      </c>
      <c r="G4" s="27">
        <f>($M$2 * ($C$4 + $D$4)) / $N$2</f>
        <v>319.75990386432989</v>
      </c>
      <c r="H4" s="27">
        <f>($L$2 * ($C$4 + $D$4)) / $N$2</f>
        <v>477.24009613567011</v>
      </c>
      <c r="I4" s="9">
        <f>CHITEST($C$4:$D$4,$G$4:$H$4)</f>
        <v>0.62517609264868357</v>
      </c>
      <c r="J4" s="14">
        <f>SUM($C$4,$D$4)</f>
        <v>797</v>
      </c>
      <c r="K4" s="15">
        <f>($J$4/2257*100)</f>
        <v>35.312361541869741</v>
      </c>
      <c r="P4" s="15">
        <f>(($C$4 - $G$4)^2 / $G$4) + (($D$4 - $H$4)^2 / $H$4)</f>
        <v>0.23865933796531286</v>
      </c>
      <c r="Q4" s="19">
        <f>SQRT($P$4 / $J$4)</f>
        <v>1.7304539840116647E-2</v>
      </c>
      <c r="R4">
        <f t="shared" ref="R4:R67" si="0" xml:space="preserve"> (C4 / (881 - C4)) / (D4 / (1376 - D4))</f>
        <v>1.01558316843208</v>
      </c>
      <c r="S4">
        <f t="shared" ref="S4:S67" si="1">SQRT(1/C4 + 1/(881 - C4) + 1/D4 + 1/(1376 - D4))</f>
        <v>9.0236597314275011E-2</v>
      </c>
      <c r="T4">
        <f t="shared" ref="T4:T67" si="2">EXP(LN((C4 / (881 - C4)) / (D4 / (1376 - D4))) - 1.96 * S4)</f>
        <v>0.85095099858007317</v>
      </c>
      <c r="U4" s="34">
        <f t="shared" ref="U4:U67" si="3">EXP(LN((C4 / (881 - C4)) / (D4 / (1376 - D4))) + 1.96 * S4)</f>
        <v>1.2120664688373222</v>
      </c>
    </row>
    <row r="5" spans="1:21">
      <c r="A5" s="1" t="s">
        <v>138</v>
      </c>
      <c r="B5" s="30" t="s">
        <v>390</v>
      </c>
      <c r="C5">
        <v>230</v>
      </c>
      <c r="D5">
        <v>331</v>
      </c>
      <c r="E5" s="5">
        <f>($C$5/881)*100</f>
        <v>26.106696935300793</v>
      </c>
      <c r="F5" s="5">
        <f>($D$5/1376)*100</f>
        <v>24.055232558139537</v>
      </c>
      <c r="G5" s="27">
        <f>($M$2 * ($C$5 + $D$5)) / $N$2</f>
        <v>225.07566633361239</v>
      </c>
      <c r="H5" s="27">
        <f>($L$2 * ($C$5 + $D$5)) / $N$2</f>
        <v>335.92433366638761</v>
      </c>
      <c r="I5" s="9">
        <f>CHITEST($C$5:$D$5,$G$5:$H$5)</f>
        <v>0.67143902493632324</v>
      </c>
      <c r="J5" s="14">
        <f>SUM($C$5,$D$5)</f>
        <v>561</v>
      </c>
      <c r="K5" s="15">
        <f>($J$5/2257*100)</f>
        <v>24.856003544528136</v>
      </c>
      <c r="P5" s="15">
        <f>(($C$5 - $G$5)^2 / $G$5) + (($D$5 - $H$5)^2 / $H$5)</f>
        <v>0.17992346129795128</v>
      </c>
      <c r="Q5" s="19">
        <f>SQRT($P$5 / $J$5)</f>
        <v>1.7908634296039699E-2</v>
      </c>
      <c r="R5">
        <f t="shared" si="0"/>
        <v>1.1154115676092091</v>
      </c>
      <c r="S5">
        <f t="shared" si="1"/>
        <v>9.9307654450929511E-2</v>
      </c>
      <c r="T5">
        <f t="shared" si="2"/>
        <v>0.918127006166508</v>
      </c>
      <c r="U5" s="34">
        <f t="shared" si="3"/>
        <v>1.3550880834571597</v>
      </c>
    </row>
    <row r="6" spans="1:21">
      <c r="A6" s="1" t="s">
        <v>139</v>
      </c>
      <c r="B6" s="30" t="s">
        <v>391</v>
      </c>
      <c r="C6">
        <v>306</v>
      </c>
      <c r="D6">
        <v>380</v>
      </c>
      <c r="E6" s="5">
        <f>($C$6/881)*100</f>
        <v>34.733257661748013</v>
      </c>
      <c r="F6" s="5">
        <f>($D$6/1376)*100</f>
        <v>27.61627906976744</v>
      </c>
      <c r="G6" s="27">
        <f>($M$2 * ($C$6 + $D$6)) / $N$2</f>
        <v>275.22621587318736</v>
      </c>
      <c r="H6" s="27">
        <f>($L$2 * ($C$6 + $D$6)) / $N$2</f>
        <v>410.77378412681264</v>
      </c>
      <c r="I6" s="9">
        <f>CHITEST($C$6:$D$6,$G$6:$H$6)</f>
        <v>1.6522786840786504E-2</v>
      </c>
      <c r="J6" s="14">
        <f>SUM($C$6,$D$6)</f>
        <v>686</v>
      </c>
      <c r="K6" s="15">
        <f>($J$6/2257*100)</f>
        <v>30.394328754984496</v>
      </c>
      <c r="P6" s="15">
        <f>(($C$6 - $G$6)^2 / $G$6) + (($D$6 - $H$6)^2 / $H$6)</f>
        <v>5.7463675875945288</v>
      </c>
      <c r="Q6" s="19">
        <f>SQRT($P$6 / $J$6)</f>
        <v>9.1523926578983561E-2</v>
      </c>
      <c r="R6">
        <f t="shared" si="0"/>
        <v>1.3948558352402745</v>
      </c>
      <c r="S6">
        <f t="shared" si="1"/>
        <v>9.2966119111304243E-2</v>
      </c>
      <c r="T6">
        <f t="shared" si="2"/>
        <v>1.1625053638823117</v>
      </c>
      <c r="U6" s="34">
        <f t="shared" si="3"/>
        <v>1.6736463000963941</v>
      </c>
    </row>
    <row r="7" spans="1:21">
      <c r="A7" s="1" t="s">
        <v>140</v>
      </c>
      <c r="B7" s="30" t="s">
        <v>555</v>
      </c>
      <c r="C7">
        <v>197</v>
      </c>
      <c r="D7">
        <v>295</v>
      </c>
      <c r="E7" s="5">
        <f>($C$7/881)*100</f>
        <v>22.360953461975029</v>
      </c>
      <c r="F7" s="5">
        <f>($D$7/1376)*100</f>
        <v>21.438953488372093</v>
      </c>
      <c r="G7" s="27">
        <f>($M$2 * ($C$7 + $D$7)) / $N$2</f>
        <v>197.39256298776701</v>
      </c>
      <c r="H7" s="27">
        <f>($L$2 * ($C$7 + $D$7)) / $N$2</f>
        <v>294.60743701223299</v>
      </c>
      <c r="I7" s="9">
        <f>CHITEST($C$7:$D$7,$G$7:$H$7)</f>
        <v>0.97119616240035145</v>
      </c>
      <c r="J7" s="14">
        <f>SUM($C$7,$D$7)</f>
        <v>492</v>
      </c>
      <c r="K7" s="15">
        <f>($J$7/2257*100)</f>
        <v>21.798848028356225</v>
      </c>
      <c r="P7" s="15">
        <f>(($C$7 - $G$7)^2 / $G$7) + (($D$7 - $H$7)^2 / $H$7)</f>
        <v>1.303795001063764E-3</v>
      </c>
      <c r="Q7" s="19">
        <f>SQRT($P$7 / $J$7)</f>
        <v>1.6278789388527932E-3</v>
      </c>
      <c r="R7">
        <f t="shared" si="0"/>
        <v>1.0553920111011994</v>
      </c>
      <c r="S7">
        <f t="shared" si="1"/>
        <v>0.10417787828877757</v>
      </c>
      <c r="T7">
        <f t="shared" si="2"/>
        <v>0.86047013626282798</v>
      </c>
      <c r="U7" s="34">
        <f t="shared" si="3"/>
        <v>1.2944694419423888</v>
      </c>
    </row>
    <row r="8" spans="1:21">
      <c r="A8" s="1" t="s">
        <v>141</v>
      </c>
      <c r="B8" s="30" t="s">
        <v>556</v>
      </c>
      <c r="C8">
        <v>173</v>
      </c>
      <c r="D8">
        <v>253</v>
      </c>
      <c r="E8" s="5">
        <f>($C$8/881)*100</f>
        <v>19.636776390465378</v>
      </c>
      <c r="F8" s="5">
        <f>($D$8/1376)*100</f>
        <v>18.386627906976745</v>
      </c>
      <c r="G8" s="27">
        <f>($M$2 * ($C$8 + $D$8)) / $N$2</f>
        <v>170.91307283087144</v>
      </c>
      <c r="H8" s="27">
        <f>($L$2 * ($C$8 + $D$8)) / $N$2</f>
        <v>255.08692716912856</v>
      </c>
      <c r="I8" s="9">
        <f>CHITEST($C$8:$D$8,$G$8:$H$8)</f>
        <v>0.83656358263964892</v>
      </c>
      <c r="J8" s="14">
        <f>SUM($C$8,$D$8)</f>
        <v>426</v>
      </c>
      <c r="K8" s="15">
        <f>($J$8/2257*100)</f>
        <v>18.874612317235268</v>
      </c>
      <c r="P8" s="15">
        <f>(($C$8 - $G$8)^2 / $G$8) + (($D$8 - $H$8)^2 / $H$8)</f>
        <v>4.2555990238145373E-2</v>
      </c>
      <c r="Q8" s="19">
        <f>SQRT($P$8 / $J$8)</f>
        <v>9.9948332002025801E-3</v>
      </c>
      <c r="R8">
        <f t="shared" si="0"/>
        <v>1.0846061945914562</v>
      </c>
      <c r="S8">
        <f t="shared" si="1"/>
        <v>0.10970787264109338</v>
      </c>
      <c r="T8">
        <f t="shared" si="2"/>
        <v>0.87475584699967934</v>
      </c>
      <c r="U8" s="34">
        <f t="shared" si="3"/>
        <v>1.3447987817183358</v>
      </c>
    </row>
    <row r="9" spans="1:21">
      <c r="A9" s="1" t="s">
        <v>142</v>
      </c>
      <c r="B9" s="30" t="s">
        <v>392</v>
      </c>
      <c r="C9">
        <v>266</v>
      </c>
      <c r="D9">
        <v>317</v>
      </c>
      <c r="E9" s="5">
        <f>($C$9/881)*100</f>
        <v>30.192962542565265</v>
      </c>
      <c r="F9" s="5">
        <f>($D$9/1376)*100</f>
        <v>23.037790697674417</v>
      </c>
      <c r="G9" s="27">
        <f>($M$2 * ($C$9 + $D$9)) / $N$2</f>
        <v>233.90216305257758</v>
      </c>
      <c r="H9" s="27">
        <f>($L$2 * ($C$9 + $D$9)) / $N$2</f>
        <v>349.09783694742242</v>
      </c>
      <c r="I9" s="9">
        <f>CHITEST($C$9:$D$9,$G$9:$H$9)</f>
        <v>6.6841231002632258E-3</v>
      </c>
      <c r="J9" s="14">
        <f>SUM($C$9,$D$9)</f>
        <v>583</v>
      </c>
      <c r="K9" s="15">
        <f>($J$9/2257*100)</f>
        <v>25.830748781568452</v>
      </c>
      <c r="P9" s="15">
        <f>(($C$9 - $G$9)^2 / $G$9) + (($D$9 - $H$9)^2 / $H$9)</f>
        <v>7.3559487022728618</v>
      </c>
      <c r="Q9" s="19">
        <f>SQRT($P$9 / $J$9)</f>
        <v>0.11232723499933113</v>
      </c>
      <c r="R9">
        <f t="shared" si="0"/>
        <v>1.4449180580133876</v>
      </c>
      <c r="S9">
        <f t="shared" si="1"/>
        <v>9.7387247379533998E-2</v>
      </c>
      <c r="T9">
        <f t="shared" si="2"/>
        <v>1.1938383348263779</v>
      </c>
      <c r="U9" s="34">
        <f t="shared" si="3"/>
        <v>1.7488031113331688</v>
      </c>
    </row>
    <row r="10" spans="1:21">
      <c r="A10" s="1" t="s">
        <v>143</v>
      </c>
      <c r="B10" s="30" t="s">
        <v>557</v>
      </c>
      <c r="C10">
        <v>184</v>
      </c>
      <c r="D10">
        <v>221</v>
      </c>
      <c r="E10" s="5">
        <f>($C$10/881)*100</f>
        <v>20.885357548240634</v>
      </c>
      <c r="F10" s="5">
        <f>($D$10/1376)*100</f>
        <v>16.061046511627907</v>
      </c>
      <c r="G10" s="27">
        <f>($M$2 * ($C$10 + $D$10)) / $N$2</f>
        <v>162.48778050822284</v>
      </c>
      <c r="H10" s="27">
        <f>($L$2 * ($C$10 + $D$10)) / $N$2</f>
        <v>242.51221949177716</v>
      </c>
      <c r="I10" s="9">
        <f>CHITEST($C$10:$D$10,$G$10:$H$10)</f>
        <v>2.91908831624219E-2</v>
      </c>
      <c r="J10" s="14">
        <f>SUM($C$10,$D$10)</f>
        <v>405</v>
      </c>
      <c r="K10" s="15">
        <f>($J$10/2257*100)</f>
        <v>17.944173681878599</v>
      </c>
      <c r="P10" s="15">
        <f>(($C$10 - $G$10)^2 / $G$10) + (($D$10 - $H$10)^2 / $H$10)</f>
        <v>4.7563207160847814</v>
      </c>
      <c r="Q10" s="19">
        <f>SQRT($P$10 / $J$10)</f>
        <v>0.10836974563092122</v>
      </c>
      <c r="R10">
        <f t="shared" si="0"/>
        <v>1.3796685211994519</v>
      </c>
      <c r="S10">
        <f t="shared" si="1"/>
        <v>0.11072574489196182</v>
      </c>
      <c r="T10">
        <f t="shared" si="2"/>
        <v>1.1105115980626115</v>
      </c>
      <c r="U10" s="34">
        <f t="shared" si="3"/>
        <v>1.7140615475871532</v>
      </c>
    </row>
    <row r="11" spans="1:21">
      <c r="A11" s="1" t="s">
        <v>144</v>
      </c>
      <c r="B11" s="30" t="s">
        <v>558</v>
      </c>
      <c r="C11">
        <v>191</v>
      </c>
      <c r="D11">
        <v>358</v>
      </c>
      <c r="E11" s="5">
        <f>($C$11/881)*100</f>
        <v>21.679909194097615</v>
      </c>
      <c r="F11" s="5">
        <f>($D$11/1376)*100</f>
        <v>26.017441860465119</v>
      </c>
      <c r="G11" s="27">
        <f>($M$2 * ($C$11 + $D$11)) / $N$2</f>
        <v>220.26121357781318</v>
      </c>
      <c r="H11" s="27">
        <f>($L$2 * ($C$11 + $D$11)) / $N$2</f>
        <v>328.73878642218682</v>
      </c>
      <c r="I11" s="9">
        <f>CHITEST($C$11:$D$11,$G$11:$H$11)</f>
        <v>1.0837054311164822E-2</v>
      </c>
      <c r="J11" s="14">
        <f>SUM($C$11,$D$11)</f>
        <v>549</v>
      </c>
      <c r="K11" s="15">
        <f>($J$11/2257*100)</f>
        <v>24.324324324324326</v>
      </c>
      <c r="P11" s="15">
        <f>(($C$11 - $G$11)^2 / $G$11) + (($D$11 - $H$11)^2 / $H$11)</f>
        <v>6.4918434343262854</v>
      </c>
      <c r="Q11" s="19">
        <f>SQRT($P$11 / $J$11)</f>
        <v>0.10874213272069538</v>
      </c>
      <c r="R11">
        <f t="shared" si="0"/>
        <v>0.78713464496801877</v>
      </c>
      <c r="S11">
        <f t="shared" si="1"/>
        <v>0.10227654578184089</v>
      </c>
      <c r="T11">
        <f t="shared" si="2"/>
        <v>0.6441536537433622</v>
      </c>
      <c r="U11" s="34">
        <f t="shared" si="3"/>
        <v>0.96185272831779467</v>
      </c>
    </row>
    <row r="12" spans="1:21">
      <c r="B12" s="7"/>
      <c r="I12" s="9"/>
      <c r="J12" s="14"/>
      <c r="K12" s="15"/>
      <c r="P12" s="15"/>
      <c r="Q12" s="19"/>
      <c r="U12" s="34"/>
    </row>
    <row r="13" spans="1:21">
      <c r="A13" s="2" t="s">
        <v>2</v>
      </c>
      <c r="B13" s="7"/>
      <c r="I13" s="9"/>
      <c r="J13" s="14"/>
      <c r="K13" s="15"/>
      <c r="P13" s="15"/>
      <c r="Q13" s="19"/>
      <c r="U13" s="34"/>
    </row>
    <row r="14" spans="1:21">
      <c r="A14" s="1" t="s">
        <v>145</v>
      </c>
      <c r="B14" s="30" t="s">
        <v>393</v>
      </c>
      <c r="C14">
        <v>520</v>
      </c>
      <c r="D14">
        <v>767</v>
      </c>
      <c r="E14" s="5">
        <f>($C$14/881)*100</f>
        <v>59.023836549375709</v>
      </c>
      <c r="F14" s="5">
        <f>($D$14/1376)*100</f>
        <v>55.741279069767444</v>
      </c>
      <c r="G14" s="27">
        <f>($M$2 * ($C$14 + $D$14)) / $N$2</f>
        <v>516.35005805946366</v>
      </c>
      <c r="H14" s="27">
        <f>($L$2 * ($C$14 + $D$14)) / $N$2</f>
        <v>770.64994194053634</v>
      </c>
      <c r="I14" s="9">
        <f>CHITEST($C$14:$D$14,$G$14:$H$14)</f>
        <v>0.83556101553191864</v>
      </c>
      <c r="J14" s="14">
        <f>SUM($C$14,$D$14)</f>
        <v>1287</v>
      </c>
      <c r="K14" s="15">
        <f>($J$14/2257*100)</f>
        <v>57.022596366858657</v>
      </c>
      <c r="P14" s="15">
        <f>(($C$14 - $G$14)^2 / $G$14) + (($D$14 - $H$14)^2 / $H$14)</f>
        <v>4.3087280015279651E-2</v>
      </c>
      <c r="Q14" s="19">
        <f>SQRT($P$14 / $J$14)</f>
        <v>5.7860910855881227E-3</v>
      </c>
      <c r="R14">
        <f t="shared" si="0"/>
        <v>1.1437156674022255</v>
      </c>
      <c r="S14">
        <f t="shared" si="1"/>
        <v>8.740124206876386E-2</v>
      </c>
      <c r="T14">
        <f t="shared" si="2"/>
        <v>0.96365289670496623</v>
      </c>
      <c r="U14" s="34">
        <f t="shared" si="3"/>
        <v>1.3574239566280306</v>
      </c>
    </row>
    <row r="15" spans="1:21">
      <c r="A15" s="1" t="s">
        <v>146</v>
      </c>
      <c r="B15" s="30" t="s">
        <v>559</v>
      </c>
      <c r="C15">
        <v>223</v>
      </c>
      <c r="D15">
        <v>332</v>
      </c>
      <c r="E15" s="5">
        <f>($C$15/881)*100</f>
        <v>25.312145289443816</v>
      </c>
      <c r="F15" s="5">
        <f>($D$15/1376)*100</f>
        <v>24.127906976744189</v>
      </c>
      <c r="G15" s="27">
        <f>($M$2 * ($C$15 + $D$15)) / $N$2</f>
        <v>222.66843995571278</v>
      </c>
      <c r="H15" s="27">
        <f>($L$2 * ($C$15 + $D$15)) / $N$2</f>
        <v>332.33156004428724</v>
      </c>
      <c r="I15" s="9">
        <f>CHITEST($C$15:$D$15,$G$15:$H$15)</f>
        <v>0.97709269806610022</v>
      </c>
      <c r="J15" s="14">
        <f>SUM($C$15,$D$15)</f>
        <v>555</v>
      </c>
      <c r="K15" s="15">
        <f>($J$15/2257*100)</f>
        <v>24.590163934426229</v>
      </c>
      <c r="P15" s="15">
        <f>(($C$15 - $G$15)^2 / $G$15) + (($D$15 - $H$15)^2 / $H$15)</f>
        <v>8.2449325745081819E-4</v>
      </c>
      <c r="Q15" s="19">
        <f>SQRT($P$15 / $J$15)</f>
        <v>1.218841021974696E-3</v>
      </c>
      <c r="R15">
        <f t="shared" si="0"/>
        <v>1.0657157505401544</v>
      </c>
      <c r="S15">
        <f t="shared" si="1"/>
        <v>9.9869737010480575E-2</v>
      </c>
      <c r="T15">
        <f t="shared" si="2"/>
        <v>0.87625507854388984</v>
      </c>
      <c r="U15" s="34">
        <f t="shared" si="3"/>
        <v>1.2961409169082234</v>
      </c>
    </row>
    <row r="16" spans="1:21" ht="25.5">
      <c r="A16" s="4" t="s">
        <v>147</v>
      </c>
      <c r="B16" s="30" t="s">
        <v>394</v>
      </c>
      <c r="C16">
        <v>447</v>
      </c>
      <c r="D16">
        <v>683</v>
      </c>
      <c r="E16" s="5">
        <f>($C$16/881)*100</f>
        <v>50.73779795686719</v>
      </c>
      <c r="F16" s="5">
        <f>($D$16/1376)*100</f>
        <v>49.636627906976742</v>
      </c>
      <c r="G16" s="27">
        <f>($M$2 * ($C$16 + $D$16)) / $N$2</f>
        <v>453.36096783775753</v>
      </c>
      <c r="H16" s="27">
        <f>($L$2 * ($C$16 + $D$16)) / $N$2</f>
        <v>676.63903216224242</v>
      </c>
      <c r="I16" s="9">
        <f>CHITEST($C$16:$D$16,$G$16:$H$16)</f>
        <v>0.69944760600316935</v>
      </c>
      <c r="J16" s="14">
        <f>SUM($C$16,$D$16)</f>
        <v>1130</v>
      </c>
      <c r="K16" s="15">
        <f>($J$16/2257*100)</f>
        <v>50.066459902525473</v>
      </c>
      <c r="P16" s="15">
        <f>(($C$16 - $G$16)^2 / $G$16) + (($D$16 - $H$16)^2 / $H$16)</f>
        <v>0.14904714774315386</v>
      </c>
      <c r="Q16" s="19">
        <f>SQRT($P$16 / $J$16)</f>
        <v>1.1484778219284597E-2</v>
      </c>
      <c r="R16">
        <f t="shared" si="0"/>
        <v>1.0450337694233223</v>
      </c>
      <c r="S16">
        <f t="shared" si="1"/>
        <v>8.6304195825590249E-2</v>
      </c>
      <c r="T16">
        <f t="shared" si="2"/>
        <v>0.88240245956721353</v>
      </c>
      <c r="U16" s="34">
        <f t="shared" si="3"/>
        <v>1.2376388657968507</v>
      </c>
    </row>
    <row r="17" spans="1:21">
      <c r="A17" s="4" t="s">
        <v>148</v>
      </c>
      <c r="B17" s="30" t="s">
        <v>560</v>
      </c>
      <c r="C17">
        <v>585</v>
      </c>
      <c r="D17">
        <v>858</v>
      </c>
      <c r="E17" s="5">
        <f>($C$17/881)*100</f>
        <v>66.401816118047677</v>
      </c>
      <c r="F17" s="5">
        <f>($D$17/1376)*100</f>
        <v>62.354651162790695</v>
      </c>
      <c r="G17" s="27">
        <f>($M$2 * ($C$17 + $D$17)) / $N$2</f>
        <v>578.93794388485321</v>
      </c>
      <c r="H17" s="27">
        <f>($L$2 * ($C$17 + $D$17)) / $N$2</f>
        <v>864.06205611514679</v>
      </c>
      <c r="I17" s="9">
        <f>CHITEST($C$17:$D$17,$G$17:$H$17)</f>
        <v>0.74473821786587846</v>
      </c>
      <c r="J17" s="14">
        <f>SUM($C$17,$D$17)</f>
        <v>1443</v>
      </c>
      <c r="K17" s="15">
        <f>($J$17/2257*100)</f>
        <v>63.934426229508205</v>
      </c>
      <c r="P17" s="15">
        <f>(($C$17 - $G$17)^2 / $G$17) + (($D$17 - $H$17)^2 / $H$17)</f>
        <v>0.10600571677659136</v>
      </c>
      <c r="Q17" s="19">
        <f>SQRT($P$17 / $J$17)</f>
        <v>8.5709996609621333E-3</v>
      </c>
      <c r="R17">
        <f t="shared" si="0"/>
        <v>1.1931818181818181</v>
      </c>
      <c r="S17">
        <f t="shared" si="1"/>
        <v>9.0464264678287096E-2</v>
      </c>
      <c r="T17">
        <f t="shared" si="2"/>
        <v>0.99931381244430828</v>
      </c>
      <c r="U17" s="34">
        <f t="shared" si="3"/>
        <v>1.4246604355015968</v>
      </c>
    </row>
    <row r="18" spans="1:21">
      <c r="A18" s="4" t="s">
        <v>149</v>
      </c>
      <c r="B18" s="30" t="s">
        <v>561</v>
      </c>
      <c r="C18">
        <v>543</v>
      </c>
      <c r="D18">
        <v>787</v>
      </c>
      <c r="E18" s="5">
        <f>($C$18/881)*100</f>
        <v>61.634506242905786</v>
      </c>
      <c r="F18" s="5">
        <f>($D$18/1376)*100</f>
        <v>57.194767441860463</v>
      </c>
      <c r="G18" s="27">
        <f>($M$2 * ($C$18 + $D$18)) / $N$2</f>
        <v>533.60184710107751</v>
      </c>
      <c r="H18" s="27">
        <f>($L$2 * ($C$18 + $D$18)) / $N$2</f>
        <v>796.39815289892249</v>
      </c>
      <c r="I18" s="9">
        <f>CHITEST($C$18:$D$18,$G$18:$H$18)</f>
        <v>0.59904908039582871</v>
      </c>
      <c r="J18" s="14">
        <f>SUM($C$18,$D$18)</f>
        <v>1330</v>
      </c>
      <c r="K18" s="15">
        <f>($J$18/2257*100)</f>
        <v>58.927780239255647</v>
      </c>
      <c r="P18" s="15">
        <f>(($C$18 - $G$18)^2 / $G$18) + (($D$18 - $H$18)^2 / $H$18)</f>
        <v>0.27643248967693512</v>
      </c>
      <c r="Q18" s="19">
        <f>SQRT($P$18 / $J$18)</f>
        <v>1.4416794969781013E-2</v>
      </c>
      <c r="R18">
        <f t="shared" si="0"/>
        <v>1.2023300226310685</v>
      </c>
      <c r="S18">
        <f t="shared" si="1"/>
        <v>8.8139896798063708E-2</v>
      </c>
      <c r="T18">
        <f t="shared" si="2"/>
        <v>1.0115736240343931</v>
      </c>
      <c r="U18" s="34">
        <f t="shared" si="3"/>
        <v>1.4290581021227537</v>
      </c>
    </row>
    <row r="19" spans="1:21">
      <c r="A19" s="1" t="s">
        <v>150</v>
      </c>
      <c r="B19" s="30" t="s">
        <v>562</v>
      </c>
      <c r="C19">
        <v>327</v>
      </c>
      <c r="D19">
        <v>474</v>
      </c>
      <c r="E19" s="5">
        <f>($C$19/881)*100</f>
        <v>37.116912599318958</v>
      </c>
      <c r="F19" s="5">
        <f>($D$19/1376)*100</f>
        <v>34.447674418604649</v>
      </c>
      <c r="G19" s="27">
        <f>($M$2 * ($C$19 + $D$19)) / $N$2</f>
        <v>321.36472144959629</v>
      </c>
      <c r="H19" s="27">
        <f>($L$2 * ($C$19 + $D$19)) / $N$2</f>
        <v>479.63527855040371</v>
      </c>
      <c r="I19" s="9">
        <f>CHITEST($C$19:$D$19,$G$19:$H$19)</f>
        <v>0.68457018124191682</v>
      </c>
      <c r="J19" s="14">
        <f>SUM($C$19,$D$19)</f>
        <v>801</v>
      </c>
      <c r="K19" s="15">
        <f>($J$19/2257*100)</f>
        <v>35.489587948604338</v>
      </c>
      <c r="P19" s="15">
        <f>(($C$19 - $G$19)^2 / $G$19) + (($D$19 - $H$19)^2 / $H$19)</f>
        <v>0.16502660811737305</v>
      </c>
      <c r="Q19" s="19">
        <f>SQRT($P$19 / $J$19)</f>
        <v>1.4353596343311766E-2</v>
      </c>
      <c r="R19">
        <f t="shared" si="0"/>
        <v>1.1232235068317871</v>
      </c>
      <c r="S19">
        <f t="shared" si="1"/>
        <v>8.9897220305306391E-2</v>
      </c>
      <c r="T19">
        <f t="shared" si="2"/>
        <v>0.94176842375704506</v>
      </c>
      <c r="U19" s="34">
        <f t="shared" si="3"/>
        <v>1.3396404195273486</v>
      </c>
    </row>
    <row r="20" spans="1:21">
      <c r="A20" s="1" t="s">
        <v>151</v>
      </c>
      <c r="B20" s="30" t="s">
        <v>563</v>
      </c>
      <c r="C20">
        <v>293</v>
      </c>
      <c r="D20">
        <v>460</v>
      </c>
      <c r="E20" s="5">
        <f>($C$20/881)*100</f>
        <v>33.257661748013625</v>
      </c>
      <c r="F20" s="5">
        <f>($D$20/1376)*100</f>
        <v>33.430232558139537</v>
      </c>
      <c r="G20" s="27">
        <f>($M$2 * ($C$20 + $D$20)) / $N$2</f>
        <v>302.10691042639951</v>
      </c>
      <c r="H20" s="27">
        <f>($L$2 * ($C$20 + $D$20)) / $N$2</f>
        <v>450.89308957360049</v>
      </c>
      <c r="I20" s="9">
        <f>CHITEST($C$20:$D$20,$G$20:$H$20)</f>
        <v>0.49834387404746883</v>
      </c>
      <c r="J20" s="14">
        <f>SUM($C$20,$D$20)</f>
        <v>753</v>
      </c>
      <c r="K20" s="15">
        <f>($J$20/2257*100)</f>
        <v>33.362871067789101</v>
      </c>
      <c r="P20" s="15">
        <f>(($C$20 - $G$20)^2 / $G$20) + (($D$20 - $H$20)^2 / $H$20)</f>
        <v>0.4584614961288444</v>
      </c>
      <c r="Q20" s="19">
        <f>SQRT($P$20 / $J$20)</f>
        <v>2.4674817292228122E-2</v>
      </c>
      <c r="R20">
        <f t="shared" si="0"/>
        <v>0.99226560189293123</v>
      </c>
      <c r="S20">
        <f t="shared" si="1"/>
        <v>9.1538328888133597E-2</v>
      </c>
      <c r="T20">
        <f t="shared" si="2"/>
        <v>0.82929479136025142</v>
      </c>
      <c r="U20" s="34">
        <f t="shared" si="3"/>
        <v>1.1872630034067437</v>
      </c>
    </row>
    <row r="21" spans="1:21">
      <c r="A21" s="3"/>
      <c r="B21" s="7"/>
      <c r="I21" s="9"/>
      <c r="J21" s="14"/>
      <c r="K21" s="15"/>
      <c r="P21" s="15"/>
      <c r="Q21" s="19"/>
      <c r="U21" s="34"/>
    </row>
    <row r="22" spans="1:21">
      <c r="A22" s="3" t="s">
        <v>9</v>
      </c>
      <c r="B22" s="7"/>
      <c r="I22" s="9"/>
      <c r="J22" s="14"/>
      <c r="K22" s="15"/>
      <c r="P22" s="15"/>
      <c r="Q22" s="19"/>
      <c r="U22" s="34"/>
    </row>
    <row r="23" spans="1:21">
      <c r="A23" s="1" t="s">
        <v>152</v>
      </c>
      <c r="B23" s="30" t="s">
        <v>564</v>
      </c>
      <c r="C23">
        <v>299</v>
      </c>
      <c r="D23">
        <v>453</v>
      </c>
      <c r="E23" s="5">
        <f>($C$23/881)*100</f>
        <v>33.938706015891036</v>
      </c>
      <c r="F23" s="5">
        <f>($D$23/1376)*100</f>
        <v>32.921511627906973</v>
      </c>
      <c r="G23" s="27">
        <f>($M$2 * ($C$23 + $D$23)) / $N$2</f>
        <v>301.70570603008292</v>
      </c>
      <c r="H23" s="27">
        <f>($L$2 * ($C$23 + $D$23)) / $N$2</f>
        <v>450.29429396991708</v>
      </c>
      <c r="I23" s="9">
        <f>CHITEST($C$23:$D$23,$G$23:$H$23)</f>
        <v>0.84046191102793599</v>
      </c>
      <c r="J23" s="14">
        <f>SUM($C$23,$D$23)</f>
        <v>752</v>
      </c>
      <c r="K23" s="15">
        <f>($J$23/2257*100)</f>
        <v>33.31856446610545</v>
      </c>
      <c r="P23" s="15">
        <f>(($C$23 - $G$23)^2 / $G$23) + (($D$23 - $H$23)^2 / $H$23)</f>
        <v>4.0522766964525898E-2</v>
      </c>
      <c r="Q23" s="19">
        <f>SQRT($P$23 / $J$23)</f>
        <v>7.3407532445592966E-3</v>
      </c>
      <c r="R23">
        <f t="shared" si="0"/>
        <v>1.0467710490582067</v>
      </c>
      <c r="S23">
        <f t="shared" si="1"/>
        <v>9.1398160819401053E-2</v>
      </c>
      <c r="T23">
        <f t="shared" si="2"/>
        <v>0.8750885825689918</v>
      </c>
      <c r="U23" s="34">
        <f t="shared" si="3"/>
        <v>1.2521356705737063</v>
      </c>
    </row>
    <row r="24" spans="1:21">
      <c r="A24" s="1" t="s">
        <v>153</v>
      </c>
      <c r="B24" s="30" t="s">
        <v>565</v>
      </c>
      <c r="C24">
        <v>489</v>
      </c>
      <c r="D24">
        <v>749</v>
      </c>
      <c r="E24" s="5">
        <f>($C$24/881)*100</f>
        <v>55.505107832009081</v>
      </c>
      <c r="F24" s="5">
        <f>($D$24/1376)*100</f>
        <v>54.433139534883722</v>
      </c>
      <c r="G24" s="27">
        <f>($M$2 * ($C$24 + $D$24)) / $N$2</f>
        <v>496.6910426399503</v>
      </c>
      <c r="H24" s="27">
        <f>($L$2 * ($C$24 + $D$24)) / $N$2</f>
        <v>741.3089573600497</v>
      </c>
      <c r="I24" s="9">
        <f>CHITEST($C$24:$D$24,$G$24:$H$24)</f>
        <v>0.65562106133355913</v>
      </c>
      <c r="J24" s="14">
        <f>SUM($C$24,$D$24)</f>
        <v>1238</v>
      </c>
      <c r="K24" s="15">
        <f>($J$24/2257*100)</f>
        <v>54.851572884359769</v>
      </c>
      <c r="P24" s="15">
        <f>(($C$24 - $G$24)^2 / $G$24) + (($D$24 - $H$24)^2 / $H$24)</f>
        <v>0.1988865925327345</v>
      </c>
      <c r="Q24" s="19">
        <f>SQRT($P$24 / $J$24)</f>
        <v>1.2674838409294382E-2</v>
      </c>
      <c r="R24">
        <f t="shared" si="0"/>
        <v>1.0442596931963706</v>
      </c>
      <c r="S24">
        <f t="shared" si="1"/>
        <v>8.6752636845222303E-2</v>
      </c>
      <c r="T24">
        <f t="shared" si="2"/>
        <v>0.88097417970390723</v>
      </c>
      <c r="U24" s="34">
        <f t="shared" si="3"/>
        <v>1.2378096111750794</v>
      </c>
    </row>
    <row r="25" spans="1:21">
      <c r="A25" s="1" t="s">
        <v>154</v>
      </c>
      <c r="B25" s="30" t="s">
        <v>395</v>
      </c>
      <c r="C25">
        <v>306</v>
      </c>
      <c r="D25">
        <v>391</v>
      </c>
      <c r="E25" s="5">
        <f>($C$25/881)*100</f>
        <v>34.733257661748013</v>
      </c>
      <c r="F25" s="5">
        <f>($D$25/1376)*100</f>
        <v>28.415697674418606</v>
      </c>
      <c r="G25" s="27">
        <f>($M$2 * ($C$25 + $D$25)) / $N$2</f>
        <v>279.63946423266992</v>
      </c>
      <c r="H25" s="27">
        <f>($L$2 * ($C$25 + $D$25)) / $N$2</f>
        <v>417.36053576733008</v>
      </c>
      <c r="I25" s="9">
        <f>CHITEST($C$25:$D$25,$G$25:$H$25)</f>
        <v>4.1638446717300326E-2</v>
      </c>
      <c r="J25" s="14">
        <f>SUM($C$25,$D$25)</f>
        <v>697</v>
      </c>
      <c r="K25" s="15">
        <f>($J$25/2257*100)</f>
        <v>30.881701373504651</v>
      </c>
      <c r="P25" s="15">
        <f>(($C$25 - $G$25)^2 / $G$25) + (($D$25 - $H$25)^2 / $H$25)</f>
        <v>4.1498404656779666</v>
      </c>
      <c r="Q25" s="19">
        <f>SQRT($P$25 / $J$25)</f>
        <v>7.716126013444248E-2</v>
      </c>
      <c r="R25">
        <f t="shared" si="0"/>
        <v>1.3406427221172024</v>
      </c>
      <c r="S25">
        <f t="shared" si="1"/>
        <v>9.2627628029767373E-2</v>
      </c>
      <c r="T25">
        <f t="shared" si="2"/>
        <v>1.1180644172933585</v>
      </c>
      <c r="U25" s="34">
        <f t="shared" si="3"/>
        <v>1.6075307295055787</v>
      </c>
    </row>
    <row r="26" spans="1:21">
      <c r="A26" s="1" t="s">
        <v>155</v>
      </c>
      <c r="B26" s="30" t="s">
        <v>396</v>
      </c>
      <c r="C26">
        <v>240</v>
      </c>
      <c r="D26">
        <v>351</v>
      </c>
      <c r="E26" s="5">
        <f>($C$26/881)*100</f>
        <v>27.241770715096479</v>
      </c>
      <c r="F26" s="5">
        <f>($D$26/1376)*100</f>
        <v>25.50872093023256</v>
      </c>
      <c r="G26" s="27">
        <f>($M$2 * ($C$26 + $D$26)) / $N$2</f>
        <v>237.11179822311036</v>
      </c>
      <c r="H26" s="27">
        <f>($L$2 * ($C$26 + $D$26)) / $N$2</f>
        <v>353.88820177688962</v>
      </c>
      <c r="I26" s="9">
        <f>CHITEST($C$26:$D$26,$G$26:$H$26)</f>
        <v>0.80847930177216987</v>
      </c>
      <c r="J26" s="14">
        <f>SUM($C$26,$D$26)</f>
        <v>591</v>
      </c>
      <c r="K26" s="15">
        <f>($J$26/2257*100)</f>
        <v>26.185201595037661</v>
      </c>
      <c r="P26" s="15">
        <f>(($C$26 - $G$26)^2 / $G$26) + (($D$26 - $H$26)^2 / $H$26)</f>
        <v>5.8752086472691915E-2</v>
      </c>
      <c r="Q26" s="19">
        <f>SQRT($P$26 / $J$26)</f>
        <v>9.970522244525706E-3</v>
      </c>
      <c r="R26">
        <f t="shared" si="0"/>
        <v>1.09337706841607</v>
      </c>
      <c r="S26">
        <f t="shared" si="1"/>
        <v>9.773096579008711E-2</v>
      </c>
      <c r="T26">
        <f t="shared" si="2"/>
        <v>0.90277533188508763</v>
      </c>
      <c r="U26" s="34">
        <f t="shared" si="3"/>
        <v>1.3242202921538055</v>
      </c>
    </row>
    <row r="27" spans="1:21">
      <c r="A27" s="1" t="s">
        <v>156</v>
      </c>
      <c r="B27" s="30" t="s">
        <v>566</v>
      </c>
      <c r="C27">
        <v>360</v>
      </c>
      <c r="D27">
        <v>458</v>
      </c>
      <c r="E27" s="5">
        <f>($C$27/881)*100</f>
        <v>40.862656072644718</v>
      </c>
      <c r="F27" s="5">
        <f>($D$27/1376)*100</f>
        <v>33.284883720930232</v>
      </c>
      <c r="G27" s="27">
        <f>($M$2 * ($C$27 + $D$27)) / $N$2</f>
        <v>328.18519618697849</v>
      </c>
      <c r="H27" s="27">
        <f>($L$2 * ($C$27 + $D$27)) / $N$2</f>
        <v>489.81480381302151</v>
      </c>
      <c r="I27" s="9">
        <f>CHITEST($C$27:$D$27,$G$27:$H$27)</f>
        <v>2.3237852354231123E-2</v>
      </c>
      <c r="J27" s="14">
        <f>SUM($C$27,$D$27)</f>
        <v>818</v>
      </c>
      <c r="K27" s="15">
        <f>($J$27/2257*100)</f>
        <v>36.242800177226407</v>
      </c>
      <c r="P27" s="15">
        <f>(($C$27 - $G$27)^2 / $G$27) + (($D$27 - $H$27)^2 / $H$27)</f>
        <v>5.1506365919342008</v>
      </c>
      <c r="Q27" s="19">
        <f>SQRT($P$27 / $J$27)</f>
        <v>7.9351255506959734E-2</v>
      </c>
      <c r="R27">
        <f t="shared" si="0"/>
        <v>1.3849751485638133</v>
      </c>
      <c r="S27">
        <f t="shared" si="1"/>
        <v>8.9274264525653665E-2</v>
      </c>
      <c r="T27">
        <f t="shared" si="2"/>
        <v>1.1626532034764208</v>
      </c>
      <c r="U27" s="34">
        <f t="shared" si="3"/>
        <v>1.64980938116708</v>
      </c>
    </row>
    <row r="28" spans="1:21">
      <c r="A28" s="1" t="s">
        <v>157</v>
      </c>
      <c r="B28" s="30" t="s">
        <v>567</v>
      </c>
      <c r="C28">
        <v>306</v>
      </c>
      <c r="D28">
        <v>453</v>
      </c>
      <c r="E28" s="5">
        <f>($C$28/881)*100</f>
        <v>34.733257661748013</v>
      </c>
      <c r="F28" s="5">
        <f>($D$28/1376)*100</f>
        <v>32.921511627906973</v>
      </c>
      <c r="G28" s="27">
        <f>($M$2 * ($C$28 + $D$28)) / $N$2</f>
        <v>304.51413680429908</v>
      </c>
      <c r="H28" s="27">
        <f>($L$2 * ($C$28 + $D$28)) / $N$2</f>
        <v>454.48586319570092</v>
      </c>
      <c r="I28" s="9">
        <f>CHITEST($C$28:$D$28,$G$28:$H$28)</f>
        <v>0.91238062350066529</v>
      </c>
      <c r="J28" s="14">
        <f>SUM($C$28,$D$28)</f>
        <v>759</v>
      </c>
      <c r="K28" s="15">
        <f>($J$28/2257*100)</f>
        <v>33.628710677891007</v>
      </c>
      <c r="P28" s="15">
        <f>(($C$28 - $G$28)^2 / $G$28) + (($D$28 - $H$28)^2 / $H$28)</f>
        <v>1.2107977039569198E-2</v>
      </c>
      <c r="Q28" s="19">
        <f>SQRT($P$28 / $J$28)</f>
        <v>3.9940629588256999E-3</v>
      </c>
      <c r="R28">
        <f t="shared" si="0"/>
        <v>1.0843190325367118</v>
      </c>
      <c r="S28">
        <f t="shared" si="1"/>
        <v>9.1093542188183912E-2</v>
      </c>
      <c r="T28">
        <f t="shared" si="2"/>
        <v>0.90701964252487066</v>
      </c>
      <c r="U28" s="34">
        <f t="shared" si="3"/>
        <v>1.2962759671316726</v>
      </c>
    </row>
    <row r="29" spans="1:21">
      <c r="A29" s="3"/>
      <c r="B29" s="7"/>
      <c r="I29" s="9"/>
      <c r="J29" s="14"/>
      <c r="K29" s="15"/>
      <c r="P29" s="15"/>
      <c r="Q29" s="19"/>
      <c r="U29" s="34"/>
    </row>
    <row r="30" spans="1:21">
      <c r="A30" s="2" t="s">
        <v>25</v>
      </c>
      <c r="B30" s="7"/>
      <c r="I30" s="9"/>
      <c r="J30" s="14"/>
      <c r="K30" s="15"/>
      <c r="P30" s="15"/>
      <c r="Q30" s="19"/>
      <c r="U30" s="34"/>
    </row>
    <row r="31" spans="1:21">
      <c r="A31" s="1" t="s">
        <v>158</v>
      </c>
      <c r="B31" s="30" t="s">
        <v>568</v>
      </c>
      <c r="C31">
        <v>298</v>
      </c>
      <c r="D31">
        <v>431</v>
      </c>
      <c r="E31" s="5">
        <f>($C$31/881)*100</f>
        <v>33.825198637911463</v>
      </c>
      <c r="F31" s="5">
        <f>($D$31/1376)*100</f>
        <v>31.322674418604652</v>
      </c>
      <c r="G31" s="27">
        <f>($M$2 * ($C$31 + $D$31)) / $N$2</f>
        <v>292.47800491480109</v>
      </c>
      <c r="H31" s="27">
        <f>($L$2 * ($C$31 + $D$31)) / $N$2</f>
        <v>436.52199508519891</v>
      </c>
      <c r="I31" s="9">
        <f>CHITEST($C$31:$D$31,$G$31:$H$31)</f>
        <v>0.67648588555722611</v>
      </c>
      <c r="J31" s="14">
        <f>SUM($C$31,$D$31)</f>
        <v>729</v>
      </c>
      <c r="K31" s="15">
        <f>($J$31/2257*100)</f>
        <v>32.299512627381482</v>
      </c>
      <c r="P31" s="15">
        <f>(($C$31 - $G$31)^2 / $G$31) + (($D$31 - $H$31)^2 / $H$31)</f>
        <v>0.17410859735953821</v>
      </c>
      <c r="Q31" s="19">
        <f>SQRT($P$31 / $J$31)</f>
        <v>1.5454193448491561E-2</v>
      </c>
      <c r="R31">
        <f t="shared" si="0"/>
        <v>1.1207332264111147</v>
      </c>
      <c r="S31">
        <f t="shared" si="1"/>
        <v>9.192038531928641E-2</v>
      </c>
      <c r="T31">
        <f t="shared" si="2"/>
        <v>0.93596161058221694</v>
      </c>
      <c r="U31" s="34">
        <f t="shared" si="3"/>
        <v>1.3419812848953738</v>
      </c>
    </row>
    <row r="32" spans="1:21">
      <c r="A32" s="1" t="s">
        <v>159</v>
      </c>
      <c r="B32" s="30" t="s">
        <v>569</v>
      </c>
      <c r="C32">
        <v>298</v>
      </c>
      <c r="D32">
        <v>475</v>
      </c>
      <c r="E32" s="5">
        <f>($C$32/881)*100</f>
        <v>33.825198637911463</v>
      </c>
      <c r="F32" s="5">
        <f>($D$32/1376)*100</f>
        <v>34.520348837209305</v>
      </c>
      <c r="G32" s="27">
        <f>($M$2 * ($C$32 + $D$32)) / $N$2</f>
        <v>310.13099835273147</v>
      </c>
      <c r="H32" s="27">
        <f>($L$2 * ($C$32 + $D$32)) / $N$2</f>
        <v>462.86900164726853</v>
      </c>
      <c r="I32" s="9">
        <f>CHITEST($C$32:$D$32,$G$32:$H$32)</f>
        <v>0.3733617359310355</v>
      </c>
      <c r="J32" s="14">
        <f>SUM($C$32,$D$32)</f>
        <v>773</v>
      </c>
      <c r="K32" s="15">
        <f>($J$32/2257*100)</f>
        <v>34.249003101462115</v>
      </c>
      <c r="P32" s="15">
        <f>(($C$32 - $G$32)^2 / $G$32) + (($D$32 - $H$32)^2 / $H$32)</f>
        <v>0.79244532415636693</v>
      </c>
      <c r="Q32" s="19">
        <f>SQRT($P$32 / $J$32)</f>
        <v>3.2018052074974296E-2</v>
      </c>
      <c r="R32">
        <f t="shared" si="0"/>
        <v>0.96956937799043075</v>
      </c>
      <c r="S32">
        <f t="shared" si="1"/>
        <v>9.1028081576621719E-2</v>
      </c>
      <c r="T32">
        <f t="shared" si="2"/>
        <v>0.81113702086361805</v>
      </c>
      <c r="U32" s="34">
        <f t="shared" si="3"/>
        <v>1.1589469529277103</v>
      </c>
    </row>
    <row r="33" spans="1:21">
      <c r="A33" s="1" t="s">
        <v>160</v>
      </c>
      <c r="B33" s="30" t="s">
        <v>570</v>
      </c>
      <c r="C33">
        <v>417</v>
      </c>
      <c r="D33">
        <v>685</v>
      </c>
      <c r="E33" s="5">
        <f>($C$33/881)*100</f>
        <v>47.332576617480136</v>
      </c>
      <c r="F33" s="5">
        <f>($D$33/1376)*100</f>
        <v>49.781976744186046</v>
      </c>
      <c r="G33" s="27">
        <f>($M$2 * ($C$33 + $D$33)) / $N$2</f>
        <v>442.12724474089276</v>
      </c>
      <c r="H33" s="27">
        <f>($L$2 * ($C$33 + $D$33)) / $N$2</f>
        <v>659.87275525910718</v>
      </c>
      <c r="I33" s="9">
        <f>CHITEST($C$33:$D$33,$G$33:$H$33)</f>
        <v>0.12251545050263959</v>
      </c>
      <c r="J33" s="14">
        <f>SUM($C$33,$D$33)</f>
        <v>1102</v>
      </c>
      <c r="K33" s="15">
        <f>($J$33/2257*100)</f>
        <v>48.82587505538325</v>
      </c>
      <c r="P33" s="15">
        <f>(($C$33 - $G$33)^2 / $G$33) + (($D$33 - $H$33)^2 / $H$33)</f>
        <v>2.384865322719564</v>
      </c>
      <c r="Q33" s="19">
        <f>SQRT($P$33 / $J$33)</f>
        <v>4.6520152754136644E-2</v>
      </c>
      <c r="R33">
        <f t="shared" si="0"/>
        <v>0.90657878177699469</v>
      </c>
      <c r="S33">
        <f t="shared" si="1"/>
        <v>8.637294695712415E-2</v>
      </c>
      <c r="T33">
        <f t="shared" si="2"/>
        <v>0.76539110995555226</v>
      </c>
      <c r="U33" s="34">
        <f t="shared" si="3"/>
        <v>1.0738106007214903</v>
      </c>
    </row>
    <row r="34" spans="1:21">
      <c r="A34" s="1" t="s">
        <v>161</v>
      </c>
      <c r="B34" s="30" t="s">
        <v>571</v>
      </c>
      <c r="C34">
        <v>396</v>
      </c>
      <c r="D34">
        <v>556</v>
      </c>
      <c r="E34" s="5">
        <f>($C$34/881)*100</f>
        <v>44.948921679909191</v>
      </c>
      <c r="F34" s="5">
        <f>($D$34/1376)*100</f>
        <v>40.406976744186046</v>
      </c>
      <c r="G34" s="27">
        <f>($M$2 * ($C$34 + $D$34)) / $N$2</f>
        <v>381.94658529340285</v>
      </c>
      <c r="H34" s="27">
        <f>($L$2 * ($C$34 + $D$34)) / $N$2</f>
        <v>570.05341470659721</v>
      </c>
      <c r="I34" s="9">
        <f>CHITEST($C$34:$D$34,$G$34:$H$34)</f>
        <v>0.35274992347203848</v>
      </c>
      <c r="J34" s="14">
        <f>SUM($C$34,$D$34)</f>
        <v>952</v>
      </c>
      <c r="K34" s="15">
        <f>($J$34/2257*100)</f>
        <v>42.179884802835623</v>
      </c>
      <c r="P34" s="15">
        <f>(($C$34 - $G$34)^2 / $G$34) + (($D$34 - $H$34)^2 / $H$34)</f>
        <v>0.86354006017437368</v>
      </c>
      <c r="Q34" s="19">
        <f>SQRT($P$34 / $J$34)</f>
        <v>3.0117767100851761E-2</v>
      </c>
      <c r="R34">
        <f t="shared" si="0"/>
        <v>1.2041830453163243</v>
      </c>
      <c r="S34">
        <f t="shared" si="1"/>
        <v>8.7207691986181515E-2</v>
      </c>
      <c r="T34">
        <f t="shared" si="2"/>
        <v>1.0149854628052226</v>
      </c>
      <c r="U34" s="34">
        <f t="shared" si="3"/>
        <v>1.428647857299967</v>
      </c>
    </row>
    <row r="35" spans="1:21">
      <c r="A35" s="1" t="s">
        <v>162</v>
      </c>
      <c r="B35" s="30" t="s">
        <v>572</v>
      </c>
      <c r="C35">
        <v>391</v>
      </c>
      <c r="D35">
        <v>445</v>
      </c>
      <c r="E35" s="5">
        <f>($C$35/881)*100</f>
        <v>44.381384790011353</v>
      </c>
      <c r="F35" s="5">
        <f>($D$35/1376)*100</f>
        <v>32.340116279069768</v>
      </c>
      <c r="G35" s="27">
        <f>($M$2 * ($C$35 + $D$35)) / $N$2</f>
        <v>335.40687532067727</v>
      </c>
      <c r="H35" s="27">
        <f>($L$2 * ($C$35 + $D$35)) / $N$2</f>
        <v>500.59312467932273</v>
      </c>
      <c r="I35" s="9">
        <f>CHITEST($C$35:$D$35,$G$35:$H$35)</f>
        <v>8.7526999490228377E-5</v>
      </c>
      <c r="J35" s="14">
        <f>SUM($C$35,$D$35)</f>
        <v>836</v>
      </c>
      <c r="K35" s="15">
        <f>($J$35/2257*100)</f>
        <v>37.040319007532126</v>
      </c>
      <c r="P35" s="15">
        <f>(($C$35 - $G$35)^2 / $G$35) + (($D$35 - $H$35)^2 / $H$35)</f>
        <v>15.388334060655838</v>
      </c>
      <c r="Q35" s="19">
        <f>SQRT($P$35 / $J$35)</f>
        <v>0.13567276129967737</v>
      </c>
      <c r="R35">
        <f t="shared" si="0"/>
        <v>1.6694382022471912</v>
      </c>
      <c r="S35">
        <f t="shared" si="1"/>
        <v>8.8992505026370392E-2</v>
      </c>
      <c r="T35">
        <f t="shared" si="2"/>
        <v>1.4022272342823898</v>
      </c>
      <c r="U35" s="34">
        <f t="shared" si="3"/>
        <v>1.9875693774758507</v>
      </c>
    </row>
    <row r="36" spans="1:21">
      <c r="A36" s="1" t="s">
        <v>163</v>
      </c>
      <c r="B36" s="30" t="s">
        <v>573</v>
      </c>
      <c r="C36">
        <v>401</v>
      </c>
      <c r="D36">
        <v>612</v>
      </c>
      <c r="E36" s="5">
        <f>($C$36/881)*100</f>
        <v>45.516458569807043</v>
      </c>
      <c r="F36" s="5">
        <f>($D$36/1376)*100</f>
        <v>44.47674418604651</v>
      </c>
      <c r="G36" s="27">
        <f>($M$2 * ($C$36 + $D$36)) / $N$2</f>
        <v>406.42005346871542</v>
      </c>
      <c r="H36" s="27">
        <f>($L$2 * ($C$36 + $D$36)) / $N$2</f>
        <v>606.57994653128458</v>
      </c>
      <c r="I36" s="9">
        <f>CHITEST($C$36:$D$36,$G$36:$H$36)</f>
        <v>0.72826265679975399</v>
      </c>
      <c r="J36" s="14">
        <f>SUM($C$36,$D$36)</f>
        <v>1013</v>
      </c>
      <c r="K36" s="15">
        <f>($J$36/2257*100)</f>
        <v>44.882587505538325</v>
      </c>
      <c r="P36" s="15">
        <f>(($C$36 - $G$36)^2 / $G$36) + (($D$36 - $H$36)^2 / $H$36)</f>
        <v>0.12071282396596886</v>
      </c>
      <c r="Q36" s="19">
        <f>SQRT($P$36 / $J$36)</f>
        <v>1.0916212526285001E-2</v>
      </c>
      <c r="R36">
        <f t="shared" si="0"/>
        <v>1.0429057734204794</v>
      </c>
      <c r="S36">
        <f t="shared" si="1"/>
        <v>8.6717854972508585E-2</v>
      </c>
      <c r="T36">
        <f t="shared" si="2"/>
        <v>0.87989194775811264</v>
      </c>
      <c r="U36" s="34">
        <f t="shared" si="3"/>
        <v>1.2361204747980832</v>
      </c>
    </row>
    <row r="37" spans="1:21">
      <c r="B37" s="7"/>
      <c r="I37" s="9"/>
      <c r="J37" s="14"/>
      <c r="K37" s="15"/>
      <c r="P37" s="15"/>
      <c r="Q37" s="19"/>
      <c r="U37" s="34"/>
    </row>
    <row r="38" spans="1:21">
      <c r="A38" s="2" t="s">
        <v>31</v>
      </c>
      <c r="B38" s="7"/>
      <c r="I38" s="9"/>
      <c r="J38" s="14"/>
      <c r="K38" s="15"/>
      <c r="P38" s="15"/>
      <c r="Q38" s="19"/>
      <c r="U38" s="34"/>
    </row>
    <row r="39" spans="1:21">
      <c r="A39" s="1" t="s">
        <v>164</v>
      </c>
      <c r="B39" s="30" t="s">
        <v>397</v>
      </c>
      <c r="C39">
        <v>339</v>
      </c>
      <c r="D39">
        <v>584</v>
      </c>
      <c r="E39" s="5">
        <f>($C$39/881)*100</f>
        <v>38.47900113507378</v>
      </c>
      <c r="F39" s="5">
        <f>($D$39/1376)*100</f>
        <v>42.441860465116278</v>
      </c>
      <c r="G39" s="27">
        <f>($M$2 * ($C$39 + $D$39)) / $N$2</f>
        <v>370.31165780022144</v>
      </c>
      <c r="H39" s="27">
        <f>($L$2 * ($C$39 + $D$39)) / $N$2</f>
        <v>552.68834219977862</v>
      </c>
      <c r="I39" s="9">
        <f>CHITEST($C$39:$D$39,$G$39:$H$39)</f>
        <v>3.5489565499702599E-2</v>
      </c>
      <c r="J39" s="14">
        <f>SUM($C$39,$D$39)</f>
        <v>923</v>
      </c>
      <c r="K39" s="15">
        <f>($J$39/2257*100)</f>
        <v>40.894993354009742</v>
      </c>
      <c r="P39" s="15">
        <f>(($C$39 - $G$39)^2 / $G$39) + (($D$39 - $H$39)^2 / $H$39)</f>
        <v>4.4214644407118229</v>
      </c>
      <c r="Q39" s="19">
        <f>SQRT($P$39 / $J$39)</f>
        <v>6.9212130468737032E-2</v>
      </c>
      <c r="R39">
        <f t="shared" si="0"/>
        <v>0.84822827680331592</v>
      </c>
      <c r="S39">
        <f t="shared" si="1"/>
        <v>8.8146616425752181E-2</v>
      </c>
      <c r="T39">
        <f t="shared" si="2"/>
        <v>0.71364270627656479</v>
      </c>
      <c r="U39" s="34">
        <f t="shared" si="3"/>
        <v>1.0081952820938542</v>
      </c>
    </row>
    <row r="40" spans="1:21">
      <c r="A40" s="1" t="s">
        <v>165</v>
      </c>
      <c r="B40" s="30" t="s">
        <v>398</v>
      </c>
      <c r="C40">
        <v>456</v>
      </c>
      <c r="D40">
        <v>826</v>
      </c>
      <c r="E40" s="5">
        <f>($C$40/881)*100</f>
        <v>51.759364358683314</v>
      </c>
      <c r="F40" s="5">
        <f>($D$40/1376)*100</f>
        <v>60.029069767441854</v>
      </c>
      <c r="G40" s="27">
        <f>($M$2 * ($C$40 + $D$40)) / $N$2</f>
        <v>514.34403607788067</v>
      </c>
      <c r="H40" s="27">
        <f>($L$2 * ($C$40 + $D$40)) / $N$2</f>
        <v>767.65596392211933</v>
      </c>
      <c r="I40" s="9">
        <f>CHITEST($C$40:$D$40,$G$40:$H$40)</f>
        <v>8.856756550822719E-4</v>
      </c>
      <c r="J40" s="14">
        <f>SUM($C$40,$D$40)</f>
        <v>1282</v>
      </c>
      <c r="K40" s="15">
        <f>($J$40/2257*100)</f>
        <v>56.801063358440409</v>
      </c>
      <c r="P40" s="15">
        <f>(($C$40 - $G$40)^2 / $G$40) + (($D$40 - $H$40)^2 / $H$40)</f>
        <v>11.052502622457066</v>
      </c>
      <c r="Q40" s="19">
        <f>SQRT($P$40 / $J$40)</f>
        <v>9.2850939130373941E-2</v>
      </c>
      <c r="R40">
        <f t="shared" si="0"/>
        <v>0.71442814413901157</v>
      </c>
      <c r="S40">
        <f t="shared" si="1"/>
        <v>8.7033092578739216E-2</v>
      </c>
      <c r="T40">
        <f t="shared" si="2"/>
        <v>0.6023854741049266</v>
      </c>
      <c r="U40" s="34">
        <f t="shared" si="3"/>
        <v>0.84731055956539691</v>
      </c>
    </row>
    <row r="41" spans="1:21" ht="25.5">
      <c r="A41" s="4" t="s">
        <v>166</v>
      </c>
      <c r="B41" s="30" t="s">
        <v>359</v>
      </c>
      <c r="C41">
        <v>192</v>
      </c>
      <c r="D41">
        <v>400</v>
      </c>
      <c r="E41" s="5">
        <f>($C$41/881)*100</f>
        <v>21.793416572077184</v>
      </c>
      <c r="F41" s="5">
        <f>($D$41/1376)*100</f>
        <v>29.069767441860467</v>
      </c>
      <c r="G41" s="27">
        <f>($M$2 * ($C$41 + $D$41)) / $N$2</f>
        <v>237.51300261942697</v>
      </c>
      <c r="H41" s="27">
        <f>($L$2 * ($C$41 + $D$41)) / $N$2</f>
        <v>354.48699738057303</v>
      </c>
      <c r="I41" s="9">
        <f>CHITEST($C$41:$D$41,$G$41:$H$41)</f>
        <v>1.3541964688551836E-4</v>
      </c>
      <c r="J41" s="14">
        <f>SUM($C$41,$D$41)</f>
        <v>592</v>
      </c>
      <c r="K41" s="15">
        <f>($J$41/2257*100)</f>
        <v>26.229508196721312</v>
      </c>
      <c r="P41" s="15">
        <f>(($C$41 - $G$41)^2 / $G$41) + (($D$41 - $H$41)^2 / $H$41)</f>
        <v>14.564815346942892</v>
      </c>
      <c r="Q41" s="19">
        <f>SQRT($P$41 / $J$41)</f>
        <v>0.15685256971625527</v>
      </c>
      <c r="R41">
        <f t="shared" si="0"/>
        <v>0.67994194484760517</v>
      </c>
      <c r="S41">
        <f t="shared" si="1"/>
        <v>0.10091730429979358</v>
      </c>
      <c r="T41">
        <f t="shared" si="2"/>
        <v>0.55791660782682673</v>
      </c>
      <c r="U41" s="34">
        <f t="shared" si="3"/>
        <v>0.82865618602743729</v>
      </c>
    </row>
    <row r="42" spans="1:21">
      <c r="A42" s="4" t="s">
        <v>167</v>
      </c>
      <c r="B42" s="30" t="s">
        <v>399</v>
      </c>
      <c r="C42">
        <v>141</v>
      </c>
      <c r="D42">
        <v>190</v>
      </c>
      <c r="E42" s="5">
        <f>($C$42/881)*100</f>
        <v>16.004540295119181</v>
      </c>
      <c r="F42" s="5">
        <f>($D$42/1376)*100</f>
        <v>13.80813953488372</v>
      </c>
      <c r="G42" s="27">
        <f>($M$2 * ($C$42 + $D$42)) / $N$2</f>
        <v>132.79865518079447</v>
      </c>
      <c r="H42" s="27">
        <f>($L$2 * ($C$42 + $D$42)) / $N$2</f>
        <v>198.20134481920553</v>
      </c>
      <c r="I42" s="9">
        <f>CHITEST($C$42:$D$42,$G$42:$H$42)</f>
        <v>0.35772651375258785</v>
      </c>
      <c r="J42" s="14">
        <f>SUM($C$42,$D$42)</f>
        <v>331</v>
      </c>
      <c r="K42" s="15">
        <f>($J$42/2257*100)</f>
        <v>14.665485157288435</v>
      </c>
      <c r="P42" s="15">
        <f>(($C$42 - $G$42)^2 / $G$42) + (($D$42 - $H$42)^2 / $H$42)</f>
        <v>0.84585878368441614</v>
      </c>
      <c r="Q42" s="19">
        <f>SQRT($P$42 / $J$42)</f>
        <v>5.0551603369984037E-2</v>
      </c>
      <c r="R42">
        <f t="shared" si="0"/>
        <v>1.1893741109530584</v>
      </c>
      <c r="S42">
        <f t="shared" si="1"/>
        <v>0.12062287572452084</v>
      </c>
      <c r="T42">
        <f t="shared" si="2"/>
        <v>0.93894945962034482</v>
      </c>
      <c r="U42" s="34">
        <f t="shared" si="3"/>
        <v>1.5065888385274353</v>
      </c>
    </row>
    <row r="43" spans="1:21">
      <c r="A43" s="1" t="s">
        <v>168</v>
      </c>
      <c r="B43" s="30" t="s">
        <v>400</v>
      </c>
      <c r="C43">
        <v>372</v>
      </c>
      <c r="D43">
        <v>491</v>
      </c>
      <c r="E43" s="5">
        <f>($C$43/881)*100</f>
        <v>42.224744608399547</v>
      </c>
      <c r="F43" s="5">
        <f>($D$43/1376)*100</f>
        <v>35.683139534883722</v>
      </c>
      <c r="G43" s="27">
        <f>($M$2 * ($C$43 + $D$43)) / $N$2</f>
        <v>346.23939402122545</v>
      </c>
      <c r="H43" s="27">
        <f>($L$2 * ($C$43 + $D$43)) / $N$2</f>
        <v>516.76060597877449</v>
      </c>
      <c r="I43" s="9">
        <f>CHITEST($C$43:$D$43,$G$43:$H$43)</f>
        <v>7.3602746506346281E-2</v>
      </c>
      <c r="J43" s="14">
        <f>SUM($C$43,$D$43)</f>
        <v>863</v>
      </c>
      <c r="K43" s="15">
        <f>($J$43/2257*100)</f>
        <v>38.236597252990698</v>
      </c>
      <c r="P43" s="15">
        <f>(($C$43 - $G$43)^2 / $G$43) + (($D$43 - $H$43)^2 / $H$43)</f>
        <v>3.2007891611316177</v>
      </c>
      <c r="Q43" s="19">
        <f>SQRT($P$43 / $J$43)</f>
        <v>6.090081940601462E-2</v>
      </c>
      <c r="R43">
        <f t="shared" si="0"/>
        <v>1.3173068074055994</v>
      </c>
      <c r="S43">
        <f t="shared" si="1"/>
        <v>8.8427438987430274E-2</v>
      </c>
      <c r="T43">
        <f t="shared" si="2"/>
        <v>1.1076842497034338</v>
      </c>
      <c r="U43" s="34">
        <f t="shared" si="3"/>
        <v>1.5665991687628793</v>
      </c>
    </row>
    <row r="44" spans="1:21">
      <c r="A44" s="1" t="s">
        <v>169</v>
      </c>
      <c r="B44" s="30" t="s">
        <v>499</v>
      </c>
      <c r="C44">
        <v>258</v>
      </c>
      <c r="D44">
        <v>464</v>
      </c>
      <c r="E44" s="5">
        <f>($C$44/881)*100</f>
        <v>29.284903518728715</v>
      </c>
      <c r="F44" s="5">
        <f>($D$44/1376)*100</f>
        <v>33.720930232558139</v>
      </c>
      <c r="G44" s="27">
        <f>($M$2 * ($C$44 + $D$44)) / $N$2</f>
        <v>289.66957414058493</v>
      </c>
      <c r="H44" s="27">
        <f>($L$2 * ($C$44 + $D$44)) / $N$2</f>
        <v>432.33042585941507</v>
      </c>
      <c r="I44" s="9">
        <f>CHITEST($C$44:$D$44,$G$44:$H$44)</f>
        <v>1.6188057349470947E-2</v>
      </c>
      <c r="J44" s="14">
        <f>SUM($C$44,$D$44)</f>
        <v>722</v>
      </c>
      <c r="K44" s="15">
        <f>($J$44/2257*100)</f>
        <v>31.989366415595921</v>
      </c>
      <c r="P44" s="15">
        <f>(($C$44 - $G$44)^2 / $G$44) + (($D$44 - $H$44)^2 / $H$44)</f>
        <v>5.7823311923752829</v>
      </c>
      <c r="Q44" s="19">
        <f>SQRT($P$44 / $J$44)</f>
        <v>8.9491725676224959E-2</v>
      </c>
      <c r="R44">
        <f t="shared" si="0"/>
        <v>0.81397022195162438</v>
      </c>
      <c r="S44">
        <f t="shared" si="1"/>
        <v>9.3449286089881137E-2</v>
      </c>
      <c r="T44">
        <f t="shared" si="2"/>
        <v>0.6777396263358455</v>
      </c>
      <c r="U44" s="34">
        <f t="shared" si="3"/>
        <v>0.97758415839722412</v>
      </c>
    </row>
    <row r="45" spans="1:21">
      <c r="A45" s="1" t="s">
        <v>170</v>
      </c>
      <c r="B45" s="30" t="s">
        <v>500</v>
      </c>
      <c r="C45">
        <v>268</v>
      </c>
      <c r="D45">
        <v>456</v>
      </c>
      <c r="E45" s="5">
        <f>($C$45/881)*100</f>
        <v>30.419977298524405</v>
      </c>
      <c r="F45" s="5">
        <f>($D$45/1376)*100</f>
        <v>33.139534883720927</v>
      </c>
      <c r="G45" s="27">
        <f>($M$2 * ($C$45 + $D$45)) / $N$2</f>
        <v>290.4719829332181</v>
      </c>
      <c r="H45" s="27">
        <f>($L$2 * ($C$45 + $D$45)) / $N$2</f>
        <v>433.5280170667819</v>
      </c>
      <c r="I45" s="9">
        <f>CHITEST($C$45:$D$45,$G$45:$H$45)</f>
        <v>8.8395469895660203E-2</v>
      </c>
      <c r="J45" s="14">
        <f>SUM($C$45,$D$45)</f>
        <v>724</v>
      </c>
      <c r="K45" s="15">
        <f>($J$45/2257*100)</f>
        <v>32.077979618963226</v>
      </c>
      <c r="P45" s="15">
        <f>(($C$45 - $G$45)^2 / $G$45) + (($D$45 - $H$45)^2 / $H$45)</f>
        <v>2.9033536551761703</v>
      </c>
      <c r="Q45" s="19">
        <f>SQRT($P$45 / $J$45)</f>
        <v>6.3325800289357012E-2</v>
      </c>
      <c r="R45">
        <f t="shared" si="0"/>
        <v>0.88205832689390684</v>
      </c>
      <c r="S45">
        <f t="shared" si="1"/>
        <v>9.2965604563039997E-2</v>
      </c>
      <c r="T45">
        <f t="shared" si="2"/>
        <v>0.73512870971608124</v>
      </c>
      <c r="U45" s="34">
        <f t="shared" si="3"/>
        <v>1.0583546551234069</v>
      </c>
    </row>
    <row r="46" spans="1:21">
      <c r="A46" s="1" t="s">
        <v>171</v>
      </c>
      <c r="B46" s="30" t="s">
        <v>498</v>
      </c>
      <c r="C46">
        <v>95</v>
      </c>
      <c r="D46">
        <v>125</v>
      </c>
      <c r="E46" s="5">
        <f>($C$46/881)*100</f>
        <v>10.783200908059024</v>
      </c>
      <c r="F46" s="5">
        <f>($D$46/1376)*100</f>
        <v>9.0843023255813939</v>
      </c>
      <c r="G46" s="27">
        <f>($M$2 * ($C$46 + $D$46)) / $N$2</f>
        <v>88.264967189651912</v>
      </c>
      <c r="H46" s="27">
        <f>($L$2 * ($C$46 + $D$46)) / $N$2</f>
        <v>131.73503281034809</v>
      </c>
      <c r="I46" s="9">
        <f>CHITEST($C$46:$D$46,$G$46:$H$46)</f>
        <v>0.35422962718446743</v>
      </c>
      <c r="J46" s="14">
        <f>SUM($C$46,$D$46)</f>
        <v>220</v>
      </c>
      <c r="K46" s="15">
        <f>($J$46/2257*100)</f>
        <v>9.7474523704031899</v>
      </c>
      <c r="P46" s="15">
        <f>(($C$46 - $G$46)^2 / $G$46) + (($D$46 - $H$46)^2 / $H$46)</f>
        <v>0.85824733651752272</v>
      </c>
      <c r="Q46" s="19">
        <f>SQRT($P$46 / $J$46)</f>
        <v>6.2458980594449591E-2</v>
      </c>
      <c r="R46">
        <f t="shared" si="0"/>
        <v>1.209618320610687</v>
      </c>
      <c r="S46">
        <f t="shared" si="1"/>
        <v>0.14351982766192156</v>
      </c>
      <c r="T46">
        <f t="shared" si="2"/>
        <v>0.91302319826046197</v>
      </c>
      <c r="U46" s="34">
        <f t="shared" si="3"/>
        <v>1.6025622178546357</v>
      </c>
    </row>
    <row r="47" spans="1:21">
      <c r="A47" s="1" t="s">
        <v>172</v>
      </c>
      <c r="B47" s="30" t="s">
        <v>401</v>
      </c>
      <c r="C47">
        <v>292</v>
      </c>
      <c r="D47">
        <v>470</v>
      </c>
      <c r="E47" s="5">
        <f>($C$47/881)*100</f>
        <v>33.144154370034052</v>
      </c>
      <c r="F47" s="5">
        <f>($D$47/1376)*100</f>
        <v>34.156976744186046</v>
      </c>
      <c r="G47" s="27">
        <f>($M$2 * ($C$47 + $D$47)) / $N$2</f>
        <v>305.7177499932489</v>
      </c>
      <c r="H47" s="27">
        <f>($L$2 * ($C$47 + $D$47)) / $N$2</f>
        <v>456.2822500067511</v>
      </c>
      <c r="I47" s="9">
        <f>CHITEST($C$47:$D$47,$G$47:$H$47)</f>
        <v>0.3106436939696256</v>
      </c>
      <c r="J47" s="14">
        <f>SUM($C$47,$D$47)</f>
        <v>762</v>
      </c>
      <c r="K47" s="15">
        <f>($J$47/2257*100)</f>
        <v>33.761630482941953</v>
      </c>
      <c r="P47" s="15">
        <f>(($C$47 - $G$47)^2 / $G$47) + (($D$47 - $H$47)^2 / $H$47)</f>
        <v>1.0279370256566303</v>
      </c>
      <c r="Q47" s="19">
        <f>SQRT($P$47 / $J$47)</f>
        <v>3.6728717937523497E-2</v>
      </c>
      <c r="R47">
        <f t="shared" si="0"/>
        <v>0.95564787053426292</v>
      </c>
      <c r="S47">
        <f t="shared" si="1"/>
        <v>9.1399467927152117E-2</v>
      </c>
      <c r="T47">
        <f t="shared" si="2"/>
        <v>0.7989086044489867</v>
      </c>
      <c r="U47" s="34">
        <f t="shared" si="3"/>
        <v>1.1431380853465154</v>
      </c>
    </row>
    <row r="48" spans="1:21">
      <c r="A48" s="1" t="s">
        <v>173</v>
      </c>
      <c r="B48" s="30" t="s">
        <v>402</v>
      </c>
      <c r="C48">
        <v>97</v>
      </c>
      <c r="D48">
        <v>154</v>
      </c>
      <c r="E48" s="5">
        <f>($C$48/881)*100</f>
        <v>11.01021566401816</v>
      </c>
      <c r="F48" s="5">
        <f>($D$48/1376)*100</f>
        <v>11.19186046511628</v>
      </c>
      <c r="G48" s="27">
        <f>($M$2 * ($C$48 + $D$48)) / $N$2</f>
        <v>100.70230347546651</v>
      </c>
      <c r="H48" s="27">
        <f>($L$2 * ($C$48 + $D$48)) / $N$2</f>
        <v>150.29769652453351</v>
      </c>
      <c r="I48" s="9">
        <f>CHITEST($C$48:$D$48,$G$48:$H$48)</f>
        <v>0.63352271250576053</v>
      </c>
      <c r="J48" s="14">
        <f>SUM($C$48,$D$48)</f>
        <v>251</v>
      </c>
      <c r="K48" s="15">
        <f>($J$48/2257*100)</f>
        <v>11.120957022596368</v>
      </c>
      <c r="P48" s="15">
        <f>(($C$48 - $G$48)^2 / $G$48) + (($D$48 - $H$48)^2 / $H$48)</f>
        <v>0.22731391485066418</v>
      </c>
      <c r="Q48" s="19">
        <f>SQRT($P$48 / $J$48)</f>
        <v>3.009373899825471E-2</v>
      </c>
      <c r="R48">
        <f t="shared" si="0"/>
        <v>0.98176186058839121</v>
      </c>
      <c r="S48">
        <f t="shared" si="1"/>
        <v>0.13746499792190098</v>
      </c>
      <c r="T48">
        <f t="shared" si="2"/>
        <v>0.74988313810222074</v>
      </c>
      <c r="U48" s="34">
        <f t="shared" si="3"/>
        <v>1.2853420778939972</v>
      </c>
    </row>
    <row r="49" spans="1:21">
      <c r="B49" s="7"/>
      <c r="I49" s="9"/>
      <c r="J49" s="14"/>
      <c r="K49" s="15"/>
      <c r="P49" s="15"/>
      <c r="Q49" s="19"/>
      <c r="U49" s="34"/>
    </row>
    <row r="50" spans="1:21">
      <c r="A50" s="2" t="s">
        <v>46</v>
      </c>
      <c r="B50" s="7"/>
      <c r="I50" s="9"/>
      <c r="J50" s="14"/>
      <c r="K50" s="15"/>
      <c r="P50" s="15"/>
      <c r="Q50" s="19"/>
      <c r="U50" s="34"/>
    </row>
    <row r="51" spans="1:21">
      <c r="A51" s="1" t="s">
        <v>174</v>
      </c>
      <c r="B51" s="30" t="s">
        <v>574</v>
      </c>
      <c r="C51">
        <v>497</v>
      </c>
      <c r="D51">
        <v>633</v>
      </c>
      <c r="E51" s="5">
        <f>($C$51/881)*100</f>
        <v>56.413166855845631</v>
      </c>
      <c r="F51" s="5">
        <f>($D$51/1376)*100</f>
        <v>46.002906976744185</v>
      </c>
      <c r="G51" s="27">
        <f>($M$2 * ($C$51 + $D$51)) / $N$2</f>
        <v>453.36096783775753</v>
      </c>
      <c r="H51" s="27">
        <f>($L$2 * ($C$51 + $D$51)) / $N$2</f>
        <v>676.63903216224242</v>
      </c>
      <c r="I51" s="9">
        <f>CHITEST($C$51:$D$51,$G$51:$H$51)</f>
        <v>8.082976794484888E-3</v>
      </c>
      <c r="J51" s="14">
        <f>SUM($C$51,$D$51)</f>
        <v>1130</v>
      </c>
      <c r="K51" s="15">
        <f>($J$51/2257*100)</f>
        <v>50.066459902525473</v>
      </c>
      <c r="P51" s="15">
        <f>(($C$51 - $G$51)^2 / $G$51) + (($D$51 - $H$51)^2 / $H$51)</f>
        <v>7.0149970117590872</v>
      </c>
      <c r="Q51" s="19">
        <f>SQRT($P$51 / $J$51)</f>
        <v>7.8790620998370905E-2</v>
      </c>
      <c r="R51">
        <f t="shared" si="0"/>
        <v>1.5191836163770405</v>
      </c>
      <c r="S51">
        <f t="shared" si="1"/>
        <v>8.6844187787245744E-2</v>
      </c>
      <c r="T51">
        <f t="shared" si="2"/>
        <v>1.2814067373584019</v>
      </c>
      <c r="U51" s="34">
        <f t="shared" si="3"/>
        <v>1.8010821958265635</v>
      </c>
    </row>
    <row r="52" spans="1:21">
      <c r="A52" s="1" t="s">
        <v>175</v>
      </c>
      <c r="B52" s="30" t="s">
        <v>403</v>
      </c>
      <c r="C52">
        <v>422</v>
      </c>
      <c r="D52">
        <v>500</v>
      </c>
      <c r="E52" s="5">
        <f>($C$52/881)*100</f>
        <v>47.900113507377981</v>
      </c>
      <c r="F52" s="5">
        <f>($D$52/1376)*100</f>
        <v>36.337209302325576</v>
      </c>
      <c r="G52" s="27">
        <f>($M$2 * ($C$52 + $D$52)) / $N$2</f>
        <v>369.91045340390485</v>
      </c>
      <c r="H52" s="27">
        <f>($L$2 * ($C$52 + $D$52)) / $N$2</f>
        <v>552.08954659609515</v>
      </c>
      <c r="I52" s="9">
        <f>CHITEST($C$52:$D$52,$G$52:$H$52)</f>
        <v>4.6532948950599856E-4</v>
      </c>
      <c r="J52" s="14">
        <f>SUM($C$52,$D$52)</f>
        <v>922</v>
      </c>
      <c r="K52" s="15">
        <f>($J$52/2257*100)</f>
        <v>40.850686752326098</v>
      </c>
      <c r="P52" s="15">
        <f>(($C$52 - $G$52)^2 / $G$52) + (($D$52 - $H$52)^2 / $H$52)</f>
        <v>12.249713938740623</v>
      </c>
      <c r="Q52" s="19">
        <f>SQRT($P$52 / $J$52)</f>
        <v>0.11526501548487957</v>
      </c>
      <c r="R52">
        <f t="shared" si="0"/>
        <v>1.6107712418300653</v>
      </c>
      <c r="S52">
        <f t="shared" si="1"/>
        <v>8.769190381861823E-2</v>
      </c>
      <c r="T52">
        <f t="shared" si="2"/>
        <v>1.3564038436847232</v>
      </c>
      <c r="U52" s="34">
        <f t="shared" si="3"/>
        <v>1.9128403429309693</v>
      </c>
    </row>
    <row r="53" spans="1:21">
      <c r="A53" s="1" t="s">
        <v>176</v>
      </c>
      <c r="B53" s="30" t="s">
        <v>575</v>
      </c>
      <c r="C53">
        <v>359</v>
      </c>
      <c r="D53">
        <v>505</v>
      </c>
      <c r="E53" s="5">
        <f>($C$53/881)*100</f>
        <v>40.749148694665152</v>
      </c>
      <c r="F53" s="5">
        <f>($D$53/1376)*100</f>
        <v>36.700581395348834</v>
      </c>
      <c r="G53" s="27">
        <f>($M$2 * ($C$53 + $D$53)) / $N$2</f>
        <v>346.64059841754204</v>
      </c>
      <c r="H53" s="27">
        <f>($L$2 * ($C$53 + $D$53)) / $N$2</f>
        <v>517.35940158245796</v>
      </c>
      <c r="I53" s="9">
        <f>CHITEST($C$53:$D$53,$G$53:$H$53)</f>
        <v>0.39096758017870087</v>
      </c>
      <c r="J53" s="14">
        <f>SUM($C$53,$D$53)</f>
        <v>864</v>
      </c>
      <c r="K53" s="15">
        <f>($J$53/2257*100)</f>
        <v>38.280903854674349</v>
      </c>
      <c r="P53" s="15">
        <f>(($C$53 - $G$53)^2 / $G$53) + (($D$53 - $H$53)^2 / $H$53)</f>
        <v>0.73593059495827506</v>
      </c>
      <c r="Q53" s="19">
        <f>SQRT($P$53 / $J$53)</f>
        <v>2.9185125011595342E-2</v>
      </c>
      <c r="R53">
        <f t="shared" si="0"/>
        <v>1.1861803421721484</v>
      </c>
      <c r="S53">
        <f t="shared" si="1"/>
        <v>8.848461887873138E-2</v>
      </c>
      <c r="T53">
        <f t="shared" si="2"/>
        <v>0.9973121140321195</v>
      </c>
      <c r="U53" s="34">
        <f t="shared" si="3"/>
        <v>1.4108159164607523</v>
      </c>
    </row>
    <row r="54" spans="1:21">
      <c r="A54" s="1" t="s">
        <v>177</v>
      </c>
      <c r="B54" s="30" t="s">
        <v>576</v>
      </c>
      <c r="C54">
        <v>413</v>
      </c>
      <c r="D54">
        <v>594</v>
      </c>
      <c r="E54" s="5">
        <f>($C$54/881)*100</f>
        <v>46.878547105561864</v>
      </c>
      <c r="F54" s="5">
        <f>($D$54/1376)*100</f>
        <v>43.168604651162788</v>
      </c>
      <c r="G54" s="27">
        <f>($M$2 * ($C$54 + $D$54)) / $N$2</f>
        <v>404.01282709081579</v>
      </c>
      <c r="H54" s="27">
        <f>($L$2 * ($C$54 + $D$54)) / $N$2</f>
        <v>602.98717290918421</v>
      </c>
      <c r="I54" s="9">
        <f>CHITEST($C$54:$D$54,$G$54:$H$54)</f>
        <v>0.56339135642124782</v>
      </c>
      <c r="J54" s="14">
        <f>SUM($C$54,$D$54)</f>
        <v>1007</v>
      </c>
      <c r="K54" s="15">
        <f>($J$54/2257*100)</f>
        <v>44.616747895436419</v>
      </c>
      <c r="P54" s="15">
        <f>(($C$54 - $G$54)^2 / $G$54) + (($D$54 - $H$54)^2 / $H$54)</f>
        <v>0.33386618749878683</v>
      </c>
      <c r="Q54" s="19">
        <f>SQRT($P$54 / $J$54)</f>
        <v>1.8208387350598099E-2</v>
      </c>
      <c r="R54">
        <f t="shared" si="0"/>
        <v>1.1617816340038563</v>
      </c>
      <c r="S54">
        <f t="shared" si="1"/>
        <v>8.671985761533349E-2</v>
      </c>
      <c r="T54">
        <f t="shared" si="2"/>
        <v>0.98018279157037369</v>
      </c>
      <c r="U54" s="34">
        <f t="shared" si="3"/>
        <v>1.3770253637550867</v>
      </c>
    </row>
    <row r="55" spans="1:21">
      <c r="A55" s="4" t="s">
        <v>178</v>
      </c>
      <c r="B55" s="30" t="s">
        <v>404</v>
      </c>
      <c r="C55">
        <v>424</v>
      </c>
      <c r="D55">
        <v>659</v>
      </c>
      <c r="E55" s="5">
        <f>($C$55/881)*100</f>
        <v>48.127128263337113</v>
      </c>
      <c r="F55" s="5">
        <f>($D$55/1376)*100</f>
        <v>47.892441860465119</v>
      </c>
      <c r="G55" s="27">
        <f>($M$2 * ($C$55 + $D$55)) / $N$2</f>
        <v>434.50436121087739</v>
      </c>
      <c r="H55" s="27">
        <f>($L$2 * ($C$55 + $D$55)) / $N$2</f>
        <v>648.49563878912261</v>
      </c>
      <c r="I55" s="9">
        <f>CHITEST($C$55:$D$55,$G$55:$H$55)</f>
        <v>0.51489911424188906</v>
      </c>
      <c r="J55" s="14">
        <f>SUM($C$55,$D$55)</f>
        <v>1083</v>
      </c>
      <c r="K55" s="15">
        <f>($J$55/2257*100)</f>
        <v>47.984049623393886</v>
      </c>
      <c r="P55" s="15">
        <f>(($C$55 - $G$55)^2 / $G$55) + (($D$55 - $H$55)^2 / $H$55)</f>
        <v>0.42409831953633936</v>
      </c>
      <c r="Q55" s="19">
        <f>SQRT($P$55 / $J$55)</f>
        <v>1.9788781238733243E-2</v>
      </c>
      <c r="R55">
        <f t="shared" si="0"/>
        <v>1.0094467115814358</v>
      </c>
      <c r="S55">
        <f t="shared" si="1"/>
        <v>8.6364490363808555E-2</v>
      </c>
      <c r="T55">
        <f t="shared" si="2"/>
        <v>0.85225284420667635</v>
      </c>
      <c r="U55" s="34">
        <f t="shared" si="3"/>
        <v>1.1956342187054823</v>
      </c>
    </row>
    <row r="56" spans="1:21">
      <c r="A56" s="3"/>
      <c r="B56" s="7"/>
      <c r="I56" s="9"/>
      <c r="J56" s="14"/>
      <c r="K56" s="15"/>
      <c r="P56" s="15"/>
      <c r="Q56" s="19"/>
      <c r="U56" s="34"/>
    </row>
    <row r="57" spans="1:21" s="7" customFormat="1">
      <c r="A57" s="3" t="s">
        <v>47</v>
      </c>
      <c r="E57" s="8"/>
      <c r="F57" s="8"/>
      <c r="G57" s="28"/>
      <c r="H57" s="28"/>
      <c r="I57" s="9"/>
      <c r="J57" s="14"/>
      <c r="K57" s="15"/>
      <c r="P57" s="15"/>
      <c r="Q57" s="19"/>
      <c r="R57"/>
      <c r="S57"/>
      <c r="T57"/>
      <c r="U57" s="34"/>
    </row>
    <row r="58" spans="1:21" ht="25.5">
      <c r="A58" s="4" t="s">
        <v>179</v>
      </c>
      <c r="B58" s="30" t="s">
        <v>405</v>
      </c>
      <c r="C58">
        <v>355</v>
      </c>
      <c r="D58">
        <v>572</v>
      </c>
      <c r="E58" s="5">
        <f>($C$58/881)*100</f>
        <v>40.29511918274688</v>
      </c>
      <c r="F58" s="5">
        <f>($D$58/1376)*100</f>
        <v>41.569767441860463</v>
      </c>
      <c r="G58" s="27">
        <f>($M$2 * ($C$58 + $D$58)) / $N$2</f>
        <v>371.91647538548784</v>
      </c>
      <c r="H58" s="27">
        <f>($L$2 * ($C$58 + $D$58)) / $N$2</f>
        <v>555.08352461451216</v>
      </c>
      <c r="I58" s="9">
        <f>CHITEST($C$58:$D$58,$G$58:$H$58)</f>
        <v>0.25697548098356637</v>
      </c>
      <c r="J58" s="14">
        <f>SUM($C$58,$D$58)</f>
        <v>927</v>
      </c>
      <c r="K58" s="15">
        <f>($J$58/2257*100)</f>
        <v>41.072219760744346</v>
      </c>
      <c r="P58" s="15">
        <f>(($C$58 - $G$58)^2 / $G$58) + (($D$58 - $H$58)^2 / $H$58)</f>
        <v>1.284978146603863</v>
      </c>
      <c r="Q58" s="19">
        <f>SQRT($P$58 / $J$58)</f>
        <v>3.72312831223739E-2</v>
      </c>
      <c r="R58">
        <f t="shared" si="0"/>
        <v>0.94864261214071111</v>
      </c>
      <c r="S58">
        <f t="shared" si="1"/>
        <v>8.7807032381469668E-2</v>
      </c>
      <c r="T58">
        <f t="shared" si="2"/>
        <v>0.79865602808549097</v>
      </c>
      <c r="U58" s="34">
        <f t="shared" si="3"/>
        <v>1.1267964854987869</v>
      </c>
    </row>
    <row r="59" spans="1:21">
      <c r="A59" s="1" t="s">
        <v>180</v>
      </c>
      <c r="B59" s="30" t="s">
        <v>406</v>
      </c>
      <c r="C59">
        <v>305</v>
      </c>
      <c r="D59">
        <v>504</v>
      </c>
      <c r="E59" s="5">
        <f>($C$59/881)*100</f>
        <v>34.619750283768447</v>
      </c>
      <c r="F59" s="5">
        <f>($D$59/1376)*100</f>
        <v>36.627906976744185</v>
      </c>
      <c r="G59" s="27">
        <f>($M$2 * ($C$59 + $D$59)) / $N$2</f>
        <v>324.57435662012909</v>
      </c>
      <c r="H59" s="27">
        <f>($L$2 * ($C$59 + $D$59)) / $N$2</f>
        <v>484.42564337987091</v>
      </c>
      <c r="I59" s="9">
        <f>CHITEST($C$59:$D$59,$G$59:$H$59)</f>
        <v>0.16029576091004868</v>
      </c>
      <c r="J59" s="14">
        <f>SUM($C$59,$D$59)</f>
        <v>809</v>
      </c>
      <c r="K59" s="15">
        <f>($J$59/2257*100)</f>
        <v>35.844040762073547</v>
      </c>
      <c r="P59" s="15">
        <f>(($C$59 - $G$59)^2 / $G$59) + (($D$59 - $H$59)^2 / $H$59)</f>
        <v>1.9714337386141869</v>
      </c>
      <c r="Q59" s="19">
        <f>SQRT($P$59 / $J$59)</f>
        <v>4.9364737450959963E-2</v>
      </c>
      <c r="R59">
        <f t="shared" si="0"/>
        <v>0.91614307760141089</v>
      </c>
      <c r="S59">
        <f t="shared" si="1"/>
        <v>9.0253618269041977E-2</v>
      </c>
      <c r="T59">
        <f t="shared" si="2"/>
        <v>0.76760513893831406</v>
      </c>
      <c r="U59" s="34">
        <f t="shared" si="3"/>
        <v>1.0934243350661488</v>
      </c>
    </row>
    <row r="60" spans="1:21">
      <c r="A60" s="6" t="s">
        <v>183</v>
      </c>
      <c r="B60" s="30" t="s">
        <v>577</v>
      </c>
      <c r="C60">
        <v>239</v>
      </c>
      <c r="D60">
        <v>431</v>
      </c>
      <c r="E60" s="5">
        <f>($C$60/881)*100</f>
        <v>27.128263337116916</v>
      </c>
      <c r="F60" s="5">
        <f>($D$60/1376)*100</f>
        <v>31.322674418604652</v>
      </c>
      <c r="G60" s="27">
        <f>($M$2 * ($C$60 + $D$60)) / $N$2</f>
        <v>268.80694553212174</v>
      </c>
      <c r="H60" s="27">
        <f>($L$2 * ($C$60 + $D$60)) / $N$2</f>
        <v>401.19305446787826</v>
      </c>
      <c r="I60" s="9">
        <f>CHITEST($C$60:$D$60,$G$60:$H$60)</f>
        <v>1.880343061059955E-2</v>
      </c>
      <c r="J60" s="14">
        <f>SUM($C$60,$D$60)</f>
        <v>670</v>
      </c>
      <c r="K60" s="15">
        <f>($J$60/2257*100)</f>
        <v>29.685423128046079</v>
      </c>
      <c r="P60" s="15">
        <f>(($C$60 - $G$60)^2 / $G$60) + (($D$60 - $H$60)^2 / $H$60)</f>
        <v>5.519704889416178</v>
      </c>
      <c r="Q60" s="19">
        <f>SQRT($P$60 / $J$60)</f>
        <v>9.0765442248640582E-2</v>
      </c>
      <c r="R60">
        <f t="shared" si="0"/>
        <v>0.81623913090617339</v>
      </c>
      <c r="S60">
        <f t="shared" si="1"/>
        <v>9.5499316700247569E-2</v>
      </c>
      <c r="T60">
        <f t="shared" si="2"/>
        <v>0.67690348764595953</v>
      </c>
      <c r="U60" s="34">
        <f t="shared" si="3"/>
        <v>0.98425599953612841</v>
      </c>
    </row>
    <row r="61" spans="1:21">
      <c r="A61" s="1" t="s">
        <v>182</v>
      </c>
      <c r="B61" s="30" t="s">
        <v>578</v>
      </c>
      <c r="C61">
        <v>100</v>
      </c>
      <c r="D61">
        <v>193</v>
      </c>
      <c r="E61" s="5">
        <f>($C$61/881)*100</f>
        <v>11.350737797956867</v>
      </c>
      <c r="F61" s="5">
        <f>($D$61/1376)*100</f>
        <v>14.026162790697674</v>
      </c>
      <c r="G61" s="27">
        <f>($M$2 * ($C$61 + $D$61)) / $N$2</f>
        <v>117.55288812076368</v>
      </c>
      <c r="H61" s="27">
        <f>($L$2 * ($C$61 + $D$61)) / $N$2</f>
        <v>175.4471118792363</v>
      </c>
      <c r="I61" s="9">
        <f>CHITEST($C$61:$D$61,$G$61:$H$61)</f>
        <v>3.6425180337834227E-2</v>
      </c>
      <c r="J61" s="14">
        <f>SUM($C$61,$D$61)</f>
        <v>293</v>
      </c>
      <c r="K61" s="15">
        <f>($J$61/2257*100)</f>
        <v>12.981834293309703</v>
      </c>
      <c r="P61" s="15">
        <f>(($C$61 - $G$61)^2 / $G$61) + (($D$61 - $H$61)^2 / $H$61)</f>
        <v>4.3770878449467627</v>
      </c>
      <c r="Q61" s="19">
        <f>SQRT($P$61 / $J$61)</f>
        <v>0.12222465530737248</v>
      </c>
      <c r="R61">
        <f t="shared" si="0"/>
        <v>0.78483145694705214</v>
      </c>
      <c r="S61">
        <f t="shared" si="1"/>
        <v>0.13155632033083495</v>
      </c>
      <c r="T61">
        <f t="shared" si="2"/>
        <v>0.606447766813067</v>
      </c>
      <c r="U61" s="34">
        <f t="shared" si="3"/>
        <v>1.015685850490563</v>
      </c>
    </row>
    <row r="62" spans="1:21">
      <c r="A62" s="1" t="s">
        <v>181</v>
      </c>
      <c r="B62" s="30" t="s">
        <v>579</v>
      </c>
      <c r="C62">
        <v>255</v>
      </c>
      <c r="D62">
        <v>379</v>
      </c>
      <c r="E62" s="5">
        <f>($C$62/881)*100</f>
        <v>28.944381384790013</v>
      </c>
      <c r="F62" s="5">
        <f>($D$62/1376)*100</f>
        <v>27.543604651162788</v>
      </c>
      <c r="G62" s="27">
        <f>($M$2 * ($C$62 + $D$62)) / $N$2</f>
        <v>254.36358726472415</v>
      </c>
      <c r="H62" s="27">
        <f>($L$2 * ($C$62 + $D$62)) / $N$2</f>
        <v>379.63641273527583</v>
      </c>
      <c r="I62" s="9">
        <f>CHITEST($C$62:$D$62,$G$62:$H$62)</f>
        <v>0.95887369339848627</v>
      </c>
      <c r="J62" s="14">
        <f>SUM($C$62,$D$62)</f>
        <v>634</v>
      </c>
      <c r="K62" s="15">
        <f>($J$62/2257*100)</f>
        <v>28.090385467434647</v>
      </c>
      <c r="P62" s="15">
        <f>(($C$62 - $G$62)^2 / $G$62) + (($D$62 - $H$62)^2 / $H$62)</f>
        <v>2.6591582234251092E-3</v>
      </c>
      <c r="Q62" s="19">
        <f>SQRT($P$62 / $J$62)</f>
        <v>2.0479882501885276E-3</v>
      </c>
      <c r="R62">
        <f t="shared" si="0"/>
        <v>1.0715730820133698</v>
      </c>
      <c r="S62">
        <f t="shared" si="1"/>
        <v>9.5710731746391567E-2</v>
      </c>
      <c r="T62">
        <f t="shared" si="2"/>
        <v>0.88828264271766733</v>
      </c>
      <c r="U62" s="34">
        <f t="shared" si="3"/>
        <v>1.2926841242586331</v>
      </c>
    </row>
    <row r="63" spans="1:21">
      <c r="A63" s="3"/>
      <c r="B63" s="7"/>
      <c r="I63" s="9"/>
      <c r="J63" s="14"/>
      <c r="K63" s="15"/>
      <c r="P63" s="15"/>
      <c r="Q63" s="19"/>
      <c r="U63" s="34"/>
    </row>
    <row r="64" spans="1:21">
      <c r="A64" s="3" t="s">
        <v>48</v>
      </c>
      <c r="B64" s="7"/>
      <c r="I64" s="9"/>
      <c r="J64" s="14"/>
      <c r="K64" s="15"/>
      <c r="P64" s="15"/>
      <c r="Q64" s="19"/>
      <c r="U64" s="34"/>
    </row>
    <row r="65" spans="1:21">
      <c r="A65" s="1" t="s">
        <v>184</v>
      </c>
      <c r="B65" s="30" t="s">
        <v>407</v>
      </c>
      <c r="C65">
        <v>624</v>
      </c>
      <c r="D65">
        <v>900</v>
      </c>
      <c r="E65" s="5">
        <f>($C$65/881)*100</f>
        <v>70.828603859250848</v>
      </c>
      <c r="F65" s="5">
        <f>($D$65/1376)*100</f>
        <v>65.406976744186053</v>
      </c>
      <c r="G65" s="27">
        <f>($M$2 * ($C$65 + $D$65)) / $N$2</f>
        <v>611.4354999864978</v>
      </c>
      <c r="H65" s="27">
        <f>($L$2 * ($C$65 + $D$65)) / $N$2</f>
        <v>912.5645000135022</v>
      </c>
      <c r="I65" s="9">
        <f>CHITEST($C$65:$D$65,$G$65:$H$65)</f>
        <v>0.51140926255103691</v>
      </c>
      <c r="J65" s="14">
        <f>SUM($C$65,$D$65)</f>
        <v>1524</v>
      </c>
      <c r="K65" s="15">
        <f>($J$65/2257*100)</f>
        <v>67.523260965883907</v>
      </c>
      <c r="P65" s="15">
        <f>(($C$65 - $G$65)^2 / $G$65) + (($D$65 - $H$65)^2 / $H$65)</f>
        <v>0.43118254232621156</v>
      </c>
      <c r="Q65" s="19">
        <f>SQRT($P$65 / $J$65)</f>
        <v>1.6820468999983441E-2</v>
      </c>
      <c r="R65">
        <f t="shared" si="0"/>
        <v>1.2841504539559014</v>
      </c>
      <c r="S65">
        <f t="shared" si="1"/>
        <v>9.3303623367301525E-2</v>
      </c>
      <c r="T65">
        <f t="shared" si="2"/>
        <v>1.0695331796571024</v>
      </c>
      <c r="U65" s="34">
        <f t="shared" si="3"/>
        <v>1.5418337829629922</v>
      </c>
    </row>
    <row r="66" spans="1:21">
      <c r="A66" s="1" t="s">
        <v>186</v>
      </c>
      <c r="B66" s="30" t="s">
        <v>580</v>
      </c>
      <c r="C66">
        <v>668</v>
      </c>
      <c r="D66">
        <v>1002</v>
      </c>
      <c r="E66" s="5">
        <f>($C$66/881)*100</f>
        <v>75.82292849035187</v>
      </c>
      <c r="F66" s="5">
        <f>($D$66/1376)*100</f>
        <v>72.819767441860463</v>
      </c>
      <c r="G66" s="27">
        <f>($M$2 * ($C$66 + $D$66)) / $N$2</f>
        <v>670.01134184872137</v>
      </c>
      <c r="H66" s="27">
        <f>($L$2 * ($C$66 + $D$66)) / $N$2</f>
        <v>999.98865815127863</v>
      </c>
      <c r="I66" s="9">
        <f>CHITEST($C$66:$D$66,$G$66:$H$66)</f>
        <v>0.92001359176178799</v>
      </c>
      <c r="J66" s="14">
        <f>SUM($C$66,$D$66)</f>
        <v>1670</v>
      </c>
      <c r="K66" s="15">
        <f>($J$66/2257*100)</f>
        <v>73.99202481169695</v>
      </c>
      <c r="P66" s="15">
        <f>(($C$66 - $G$66)^2 / $G$66) + (($D$66 - $H$66)^2 / $H$66)</f>
        <v>1.0083493484826841E-2</v>
      </c>
      <c r="Q66" s="19">
        <f>SQRT($P$66 / $J$66)</f>
        <v>2.4572382975190897E-3</v>
      </c>
      <c r="R66">
        <f t="shared" si="0"/>
        <v>1.1705790297339593</v>
      </c>
      <c r="S66">
        <f t="shared" si="1"/>
        <v>9.9315872106300038E-2</v>
      </c>
      <c r="T66">
        <f t="shared" si="2"/>
        <v>0.96352139513688795</v>
      </c>
      <c r="U66" s="34">
        <f t="shared" si="3"/>
        <v>1.4221326809854855</v>
      </c>
    </row>
    <row r="67" spans="1:21">
      <c r="A67" s="1" t="s">
        <v>185</v>
      </c>
      <c r="B67" s="30" t="s">
        <v>408</v>
      </c>
      <c r="C67">
        <v>295</v>
      </c>
      <c r="D67">
        <v>514</v>
      </c>
      <c r="E67" s="5">
        <f>($C$67/881)*100</f>
        <v>33.484676503972757</v>
      </c>
      <c r="F67" s="5">
        <f>($D$67/1376)*100</f>
        <v>37.354651162790695</v>
      </c>
      <c r="G67" s="27">
        <f>($M$2 * ($C$67 + $D$67)) / $N$2</f>
        <v>324.57435662012909</v>
      </c>
      <c r="H67" s="27">
        <f>($L$2 * ($C$67 + $D$67)) / $N$2</f>
        <v>484.42564337987091</v>
      </c>
      <c r="I67" s="9">
        <f>CHITEST($C$67:$D$67,$G$67:$H$67)</f>
        <v>3.3889659767080145E-2</v>
      </c>
      <c r="J67" s="14">
        <f>SUM($C$67,$D$67)</f>
        <v>809</v>
      </c>
      <c r="K67" s="15">
        <f>($J$67/2257*100)</f>
        <v>35.844040762073547</v>
      </c>
      <c r="P67" s="15">
        <f>(($C$67 - $G$67)^2 / $G$67) + (($D$67 - $H$67)^2 / $H$67)</f>
        <v>4.5002620446067674</v>
      </c>
      <c r="Q67" s="19">
        <f>SQRT($P$67 / $J$67)</f>
        <v>7.4583823017326023E-2</v>
      </c>
      <c r="R67">
        <f t="shared" si="0"/>
        <v>0.84424509634666212</v>
      </c>
      <c r="S67">
        <f t="shared" si="1"/>
        <v>9.0564525336172264E-2</v>
      </c>
      <c r="T67">
        <f t="shared" si="2"/>
        <v>0.70693334392875729</v>
      </c>
      <c r="U67" s="34">
        <f t="shared" si="3"/>
        <v>1.008227704671989</v>
      </c>
    </row>
    <row r="68" spans="1:21">
      <c r="B68" s="7"/>
      <c r="I68" s="9"/>
      <c r="J68" s="14"/>
      <c r="K68" s="15"/>
      <c r="P68" s="15"/>
      <c r="Q68" s="19"/>
      <c r="U68" s="34"/>
    </row>
    <row r="69" spans="1:21">
      <c r="A69" s="2" t="s">
        <v>49</v>
      </c>
      <c r="B69" s="7"/>
      <c r="I69" s="9"/>
      <c r="J69" s="14"/>
      <c r="K69" s="15"/>
      <c r="P69" s="15"/>
      <c r="Q69" s="19"/>
      <c r="U69" s="34"/>
    </row>
    <row r="70" spans="1:21">
      <c r="A70" s="1" t="s">
        <v>187</v>
      </c>
      <c r="B70" s="30" t="s">
        <v>581</v>
      </c>
      <c r="C70">
        <v>270</v>
      </c>
      <c r="D70">
        <v>354</v>
      </c>
      <c r="E70" s="5">
        <f>($C$70/881)*100</f>
        <v>30.64699205448354</v>
      </c>
      <c r="F70" s="5">
        <f>($D$70/1376)*100</f>
        <v>25.726744186046513</v>
      </c>
      <c r="G70" s="27">
        <f>($M$2 * ($C$70 + $D$70)) / $N$2</f>
        <v>250.35154330155817</v>
      </c>
      <c r="H70" s="27">
        <f>($L$2 * ($C$70 + $D$70)) / $N$2</f>
        <v>373.64845669844186</v>
      </c>
      <c r="I70" s="9">
        <f>CHITEST($C$70:$D$70,$G$70:$H$70)</f>
        <v>0.10854344680784576</v>
      </c>
      <c r="J70" s="14">
        <f>SUM($C$70,$D$70)</f>
        <v>624</v>
      </c>
      <c r="K70" s="15">
        <f>($J$70/2257*100)</f>
        <v>27.64731945059814</v>
      </c>
      <c r="P70" s="15">
        <f>(($C$70 - $G$70)^2 / $G$70) + (($D$70 - $H$70)^2 / $H$70)</f>
        <v>2.5753010925655486</v>
      </c>
      <c r="Q70" s="19">
        <f>SQRT($P$70 / $J$70)</f>
        <v>6.4242393201371803E-2</v>
      </c>
      <c r="R70">
        <f t="shared" ref="R70:R131" si="4" xml:space="preserve"> (C70 / (881 - C70)) / (D70 / (1376 - D70))</f>
        <v>1.2757635440650228</v>
      </c>
      <c r="S70">
        <f t="shared" ref="S70:S131" si="5">SQRT(1/C70 + 1/(881 - C70) + 1/D70 + 1/(1376 - D70))</f>
        <v>9.5622681687497421E-2</v>
      </c>
      <c r="T70">
        <f t="shared" ref="T70:T131" si="6">EXP(LN((C70 / (881 - C70)) / (D70 / (1376 - D70))) - 1.96 * S70)</f>
        <v>1.0577292584992057</v>
      </c>
      <c r="U70" s="34">
        <f t="shared" ref="U70:U131" si="7">EXP(LN((C70 / (881 - C70)) / (D70 / (1376 - D70))) + 1.96 * S70)</f>
        <v>1.5387421755494244</v>
      </c>
    </row>
    <row r="71" spans="1:21">
      <c r="A71" s="1" t="s">
        <v>188</v>
      </c>
      <c r="B71" s="30" t="s">
        <v>582</v>
      </c>
      <c r="C71">
        <v>186</v>
      </c>
      <c r="D71">
        <v>258</v>
      </c>
      <c r="E71" s="5">
        <f>($C$71/881)*100</f>
        <v>21.112372304199774</v>
      </c>
      <c r="F71" s="5">
        <f>($D$71/1376)*100</f>
        <v>18.75</v>
      </c>
      <c r="G71" s="27">
        <f>($M$2 * ($C$71 + $D$71)) / $N$2</f>
        <v>178.13475196457023</v>
      </c>
      <c r="H71" s="27">
        <f>($L$2 * ($C$71 + $D$71)) / $N$2</f>
        <v>265.86524803542977</v>
      </c>
      <c r="I71" s="9">
        <f>CHITEST($C$71:$D$71,$G$71:$H$71)</f>
        <v>0.44632823662026028</v>
      </c>
      <c r="J71" s="14">
        <f>SUM($C$71,$D$71)</f>
        <v>444</v>
      </c>
      <c r="K71" s="15">
        <f>($J$71/2257*100)</f>
        <v>19.672131147540984</v>
      </c>
      <c r="P71" s="15">
        <f>(($C$71 - $G$71)^2 / $G$71) + (($D$71 - $H$71)^2 / $H$71)</f>
        <v>0.57995939656771711</v>
      </c>
      <c r="Q71" s="19">
        <f>SQRT($P$71 / $J$71)</f>
        <v>3.6141594557164987E-2</v>
      </c>
      <c r="R71">
        <f t="shared" si="4"/>
        <v>1.1597122302158274</v>
      </c>
      <c r="S71">
        <f t="shared" si="5"/>
        <v>0.10763650115996597</v>
      </c>
      <c r="T71">
        <f t="shared" si="6"/>
        <v>0.93913537077811937</v>
      </c>
      <c r="U71" s="34">
        <f t="shared" si="7"/>
        <v>1.4320964780592027</v>
      </c>
    </row>
    <row r="72" spans="1:21">
      <c r="A72" s="1" t="s">
        <v>189</v>
      </c>
      <c r="B72" s="30" t="s">
        <v>583</v>
      </c>
      <c r="C72">
        <v>406</v>
      </c>
      <c r="D72">
        <v>557</v>
      </c>
      <c r="E72" s="5">
        <f>($C$72/881)*100</f>
        <v>46.08399545970488</v>
      </c>
      <c r="F72" s="5">
        <f>($D$72/1376)*100</f>
        <v>40.479651162790695</v>
      </c>
      <c r="G72" s="27">
        <f>($M$2 * ($C$72 + $D$72)) / $N$2</f>
        <v>386.35983365288541</v>
      </c>
      <c r="H72" s="27">
        <f>($L$2 * ($C$72 + $D$72)) / $N$2</f>
        <v>576.64016634711459</v>
      </c>
      <c r="I72" s="9">
        <f>CHITEST($C$72:$D$72,$G$72:$H$72)</f>
        <v>0.19661747587179518</v>
      </c>
      <c r="J72" s="14">
        <f>SUM($C$72,$D$72)</f>
        <v>963</v>
      </c>
      <c r="K72" s="15">
        <f>($J$72/2257*100)</f>
        <v>42.667257421355778</v>
      </c>
      <c r="P72" s="15">
        <f>(($C$72 - $G$72)^2 / $G$72) + (($D$72 - $H$72)^2 / $H$72)</f>
        <v>1.6673230345781311</v>
      </c>
      <c r="Q72" s="19">
        <f>SQRT($P$72 / $J$72)</f>
        <v>4.1609905694418137E-2</v>
      </c>
      <c r="R72">
        <f t="shared" si="4"/>
        <v>1.2567854105641121</v>
      </c>
      <c r="S72">
        <f t="shared" si="5"/>
        <v>8.7089900117828356E-2</v>
      </c>
      <c r="T72">
        <f t="shared" si="6"/>
        <v>1.0595677005424835</v>
      </c>
      <c r="U72" s="34">
        <f t="shared" si="7"/>
        <v>1.4907113225498638</v>
      </c>
    </row>
    <row r="73" spans="1:21">
      <c r="A73" s="1" t="s">
        <v>190</v>
      </c>
      <c r="B73" s="30" t="s">
        <v>584</v>
      </c>
      <c r="C73">
        <v>184</v>
      </c>
      <c r="D73">
        <v>270</v>
      </c>
      <c r="E73" s="5">
        <f>($C$73/881)*100</f>
        <v>20.885357548240634</v>
      </c>
      <c r="F73" s="5">
        <f>($D$73/1376)*100</f>
        <v>19.622093023255811</v>
      </c>
      <c r="G73" s="27">
        <f>($M$2 * ($C$73 + $D$73)) / $N$2</f>
        <v>182.14679592773621</v>
      </c>
      <c r="H73" s="27">
        <f>($L$2 * ($C$73 + $D$73)) / $N$2</f>
        <v>271.85320407226379</v>
      </c>
      <c r="I73" s="9">
        <f>CHITEST($C$73:$D$73,$G$73:$H$73)</f>
        <v>0.8591558434797526</v>
      </c>
      <c r="J73" s="14">
        <f>SUM($C$73,$D$73)</f>
        <v>454</v>
      </c>
      <c r="K73" s="15">
        <f>($J$73/2257*100)</f>
        <v>20.115197164377495</v>
      </c>
      <c r="P73" s="15">
        <f>(($C$73 - $G$73)^2 / $G$73) + (($D$73 - $H$73)^2 / $H$73)</f>
        <v>3.1488092493321816E-2</v>
      </c>
      <c r="Q73" s="19">
        <f>SQRT($P$73 / $J$73)</f>
        <v>8.3280869305991483E-3</v>
      </c>
      <c r="R73">
        <f t="shared" si="4"/>
        <v>1.0813752059089217</v>
      </c>
      <c r="S73">
        <f t="shared" si="5"/>
        <v>0.10713246787954539</v>
      </c>
      <c r="T73">
        <f t="shared" si="6"/>
        <v>0.87656355513599105</v>
      </c>
      <c r="U73" s="34">
        <f t="shared" si="7"/>
        <v>1.3340417008018832</v>
      </c>
    </row>
    <row r="74" spans="1:21">
      <c r="A74" s="1" t="s">
        <v>191</v>
      </c>
      <c r="B74" s="30" t="s">
        <v>585</v>
      </c>
      <c r="C74">
        <v>335</v>
      </c>
      <c r="D74">
        <v>480</v>
      </c>
      <c r="E74" s="5">
        <f>($C$74/881)*100</f>
        <v>38.024971623155508</v>
      </c>
      <c r="F74" s="5">
        <f>($D$74/1376)*100</f>
        <v>34.883720930232556</v>
      </c>
      <c r="G74" s="27">
        <f>($M$2 * ($C$74 + $D$74)) / $N$2</f>
        <v>326.98158299802867</v>
      </c>
      <c r="H74" s="27">
        <f>($L$2 * ($C$74 + $D$74)) / $N$2</f>
        <v>488.01841700197133</v>
      </c>
      <c r="I74" s="9">
        <f>CHITEST($C$74:$D$74,$G$74:$H$74)</f>
        <v>0.56661515180085675</v>
      </c>
      <c r="J74" s="14">
        <f>SUM($C$74,$D$74)</f>
        <v>815</v>
      </c>
      <c r="K74" s="15">
        <f>($J$74/2257*100)</f>
        <v>36.109880372175454</v>
      </c>
      <c r="P74" s="15">
        <f>(($C$74 - $G$74)^2 / $G$74) + (($D$74 - $H$74)^2 / $H$74)</f>
        <v>0.32837900400113673</v>
      </c>
      <c r="Q74" s="19">
        <f>SQRT($P$74 / $J$74)</f>
        <v>2.0072842930543702E-2</v>
      </c>
      <c r="R74">
        <f t="shared" si="4"/>
        <v>1.1452991452991454</v>
      </c>
      <c r="S74">
        <f t="shared" si="5"/>
        <v>8.9532012265291255E-2</v>
      </c>
      <c r="T74">
        <f t="shared" si="6"/>
        <v>0.96096539609418052</v>
      </c>
      <c r="U74" s="34">
        <f t="shared" si="7"/>
        <v>1.3649920564823308</v>
      </c>
    </row>
    <row r="75" spans="1:21">
      <c r="A75" s="1" t="s">
        <v>192</v>
      </c>
      <c r="B75" s="30" t="s">
        <v>586</v>
      </c>
      <c r="C75">
        <v>200</v>
      </c>
      <c r="D75">
        <v>298</v>
      </c>
      <c r="E75" s="5">
        <f>($C$75/881)*100</f>
        <v>22.701475595913735</v>
      </c>
      <c r="F75" s="5">
        <f>($D$75/1376)*100</f>
        <v>21.656976744186046</v>
      </c>
      <c r="G75" s="27">
        <f>($M$2 * ($C$75 + $D$75)) / $N$2</f>
        <v>199.79978936566661</v>
      </c>
      <c r="H75" s="27">
        <f>($L$2 * ($C$75 + $D$75)) / $N$2</f>
        <v>298.20021063433342</v>
      </c>
      <c r="I75" s="9">
        <f>CHITEST($C$75:$D$75,$G$75:$H$75)</f>
        <v>0.98539619121634969</v>
      </c>
      <c r="J75" s="14">
        <f>SUM($C$75,$D$75)</f>
        <v>498</v>
      </c>
      <c r="K75" s="15">
        <f>($J$75/2257*100)</f>
        <v>22.064687638458132</v>
      </c>
      <c r="P75" s="15">
        <f>(($C$75 - $G$75)^2 / $G$75) + (($D$75 - $H$75)^2 / $H$75)</f>
        <v>3.350430812796135E-4</v>
      </c>
      <c r="Q75" s="19">
        <f>SQRT($P$75 / $J$75)</f>
        <v>8.2023001142716686E-4</v>
      </c>
      <c r="R75">
        <f t="shared" si="4"/>
        <v>1.0623934403610955</v>
      </c>
      <c r="S75">
        <f t="shared" si="5"/>
        <v>0.10369077714038666</v>
      </c>
      <c r="T75">
        <f t="shared" si="6"/>
        <v>0.86700581270697452</v>
      </c>
      <c r="U75" s="34">
        <f t="shared" si="7"/>
        <v>1.3018134429783219</v>
      </c>
    </row>
    <row r="76" spans="1:21">
      <c r="B76" s="7"/>
      <c r="I76" s="9"/>
      <c r="J76" s="14"/>
      <c r="K76" s="15"/>
      <c r="P76" s="15"/>
      <c r="Q76" s="19"/>
      <c r="U76" s="34"/>
    </row>
    <row r="77" spans="1:21">
      <c r="A77" s="2" t="s">
        <v>50</v>
      </c>
      <c r="B77" s="7"/>
      <c r="I77" s="9"/>
      <c r="J77" s="14"/>
      <c r="K77" s="15"/>
      <c r="P77" s="15"/>
      <c r="Q77" s="19"/>
      <c r="U77" s="34"/>
    </row>
    <row r="78" spans="1:21">
      <c r="A78" s="1" t="s">
        <v>193</v>
      </c>
      <c r="B78" s="30" t="s">
        <v>587</v>
      </c>
      <c r="C78">
        <v>365</v>
      </c>
      <c r="D78">
        <v>436</v>
      </c>
      <c r="E78" s="5">
        <f>($C$78/881)*100</f>
        <v>41.43019296254257</v>
      </c>
      <c r="F78" s="5">
        <f>($D$78/1376)*100</f>
        <v>31.686046511627907</v>
      </c>
      <c r="G78" s="27">
        <f>($M$2 * ($C$78 + $D$78)) / $N$2</f>
        <v>321.36472144959629</v>
      </c>
      <c r="H78" s="27">
        <f>($L$2 * ($C$78 + $D$78)) / $N$2</f>
        <v>479.63527855040371</v>
      </c>
      <c r="I78" s="9">
        <f>CHITEST($C$78:$D$78,$G$78:$H$78)</f>
        <v>1.6576353304105331E-3</v>
      </c>
      <c r="J78" s="14">
        <f>SUM($C$78,$D$78)</f>
        <v>801</v>
      </c>
      <c r="K78" s="15">
        <f>($J$78/2257*100)</f>
        <v>35.489587948604338</v>
      </c>
      <c r="P78" s="15">
        <f>(($C$78 - $G$78)^2 / $G$78) + (($D$78 - $H$78)^2 / $H$78)</f>
        <v>9.8946104982912537</v>
      </c>
      <c r="Q78" s="19">
        <f>SQRT($P$78 / $J$78)</f>
        <v>0.11114325033597412</v>
      </c>
      <c r="R78">
        <f t="shared" si="4"/>
        <v>1.5250515610554016</v>
      </c>
      <c r="S78">
        <f t="shared" si="5"/>
        <v>8.9638821346594635E-2</v>
      </c>
      <c r="T78">
        <f t="shared" si="6"/>
        <v>1.2793295225366381</v>
      </c>
      <c r="U78" s="34">
        <f t="shared" si="7"/>
        <v>1.81796966528685</v>
      </c>
    </row>
    <row r="79" spans="1:21">
      <c r="A79" s="1" t="s">
        <v>133</v>
      </c>
      <c r="B79" s="30" t="s">
        <v>588</v>
      </c>
      <c r="C79">
        <v>428</v>
      </c>
      <c r="D79">
        <v>518</v>
      </c>
      <c r="E79" s="5">
        <f>($C$79/881)*100</f>
        <v>48.581157775255392</v>
      </c>
      <c r="F79" s="5">
        <f>($D$79/1376)*100</f>
        <v>37.645348837209305</v>
      </c>
      <c r="G79" s="27">
        <f>($M$2 * ($C$79 + $D$79)) / $N$2</f>
        <v>379.53935891550321</v>
      </c>
      <c r="H79" s="27">
        <f>($L$2 * ($C$79 + $D$79)) / $N$2</f>
        <v>566.46064108449673</v>
      </c>
      <c r="I79" s="9">
        <f>CHITEST($C$79:$D$79,$G$79:$H$79)</f>
        <v>1.3064492038729139E-3</v>
      </c>
      <c r="J79" s="14">
        <f>SUM($C$79,$D$79)</f>
        <v>946</v>
      </c>
      <c r="K79" s="15">
        <f>($J$79/2257*100)</f>
        <v>41.914045192733717</v>
      </c>
      <c r="P79" s="15">
        <f>(($C$79 - $G$79)^2 / $G$79) + (($D$79 - $H$79)^2 / $H$79)</f>
        <v>10.333391586698614</v>
      </c>
      <c r="Q79" s="19">
        <f>SQRT($P$79 / $J$79)</f>
        <v>0.10451433834838274</v>
      </c>
      <c r="R79">
        <f t="shared" si="4"/>
        <v>1.5649594722442406</v>
      </c>
      <c r="S79">
        <f t="shared" si="5"/>
        <v>8.7406848775697973E-2</v>
      </c>
      <c r="T79">
        <f t="shared" si="6"/>
        <v>1.3185629953681608</v>
      </c>
      <c r="U79" s="34">
        <f t="shared" si="7"/>
        <v>1.8573994252607933</v>
      </c>
    </row>
    <row r="80" spans="1:21">
      <c r="A80" s="1" t="s">
        <v>134</v>
      </c>
      <c r="B80" s="30" t="s">
        <v>589</v>
      </c>
      <c r="C80">
        <v>335</v>
      </c>
      <c r="D80">
        <v>449</v>
      </c>
      <c r="E80" s="5">
        <f>($C$80/881)*100</f>
        <v>38.024971623155508</v>
      </c>
      <c r="F80" s="5">
        <f>($D$80/1376)*100</f>
        <v>32.630813953488378</v>
      </c>
      <c r="G80" s="27">
        <f>($M$2 * ($C$80 + $D$80)) / $N$2</f>
        <v>314.54424671221409</v>
      </c>
      <c r="H80" s="27">
        <f>($L$2 * ($C$80 + $D$80)) / $N$2</f>
        <v>469.45575328778591</v>
      </c>
      <c r="I80" s="9">
        <f>CHITEST($C$80:$D$80,$G$80:$H$80)</f>
        <v>0.13608982075536638</v>
      </c>
      <c r="J80" s="14">
        <f>SUM($C$80,$D$80)</f>
        <v>784</v>
      </c>
      <c r="K80" s="15">
        <f>($J$80/2257*100)</f>
        <v>34.736375719982277</v>
      </c>
      <c r="P80" s="15">
        <f>(($C$80 - $G$80)^2 / $G$80) + (($D$80 - $H$80)^2 / $H$80)</f>
        <v>2.221624239105747</v>
      </c>
      <c r="Q80" s="19">
        <f>SQRT($P$80 / $J$80)</f>
        <v>5.3232550066800985E-2</v>
      </c>
      <c r="R80">
        <f t="shared" si="4"/>
        <v>1.2667343792065398</v>
      </c>
      <c r="S80">
        <f t="shared" si="5"/>
        <v>9.012489446394148E-2</v>
      </c>
      <c r="T80">
        <f t="shared" si="6"/>
        <v>1.0616214835178179</v>
      </c>
      <c r="U80" s="34">
        <f t="shared" si="7"/>
        <v>1.5114765595612085</v>
      </c>
    </row>
    <row r="81" spans="1:21">
      <c r="A81" s="1" t="s">
        <v>135</v>
      </c>
      <c r="B81" s="30" t="s">
        <v>590</v>
      </c>
      <c r="C81">
        <v>233</v>
      </c>
      <c r="D81">
        <v>517</v>
      </c>
      <c r="E81" s="5">
        <f>($C$81/881)*100</f>
        <v>26.447219069239502</v>
      </c>
      <c r="F81" s="5">
        <f>($D$81/1376)*100</f>
        <v>37.572674418604649</v>
      </c>
      <c r="G81" s="27">
        <f>($M$2 * ($C$81 + $D$81)) / $N$2</f>
        <v>300.90329723744969</v>
      </c>
      <c r="H81" s="27">
        <f>($L$2 * ($C$81 + $D$81)) / $N$2</f>
        <v>449.09670276255031</v>
      </c>
      <c r="I81" s="9">
        <f>CHITEST($C$81:$D$81,$G$81:$H$81)</f>
        <v>4.2214592892705512E-7</v>
      </c>
      <c r="J81" s="14">
        <f>SUM($C$81,$D$81)</f>
        <v>750</v>
      </c>
      <c r="K81" s="15">
        <f>($J$81/2257*100)</f>
        <v>33.229951262738147</v>
      </c>
      <c r="P81" s="15">
        <f>(($C$81 - $G$81)^2 / $G$81) + (($D$81 - $H$81)^2 / $H$81)</f>
        <v>25.590347101115448</v>
      </c>
      <c r="Q81" s="19">
        <f>SQRT($P$81 / $J$81)</f>
        <v>0.18471725095801764</v>
      </c>
      <c r="R81">
        <f t="shared" si="4"/>
        <v>0.59742519760250257</v>
      </c>
      <c r="S81">
        <f t="shared" si="5"/>
        <v>9.451685405680034E-2</v>
      </c>
      <c r="T81">
        <f t="shared" si="6"/>
        <v>0.49639701981674755</v>
      </c>
      <c r="U81" s="34">
        <f t="shared" si="7"/>
        <v>0.7190149265242376</v>
      </c>
    </row>
    <row r="82" spans="1:21">
      <c r="A82" s="1" t="s">
        <v>194</v>
      </c>
      <c r="B82" s="30" t="s">
        <v>591</v>
      </c>
      <c r="C82">
        <v>397</v>
      </c>
      <c r="D82">
        <v>472</v>
      </c>
      <c r="E82" s="5">
        <f>($C$82/881)*100</f>
        <v>45.062429057888764</v>
      </c>
      <c r="F82" s="5">
        <f>($D$82/1376)*100</f>
        <v>34.302325581395351</v>
      </c>
      <c r="G82" s="27">
        <f>($M$2 * ($C$82 + $D$82)) / $N$2</f>
        <v>348.64662039912508</v>
      </c>
      <c r="H82" s="27">
        <f>($L$2 * ($C$82 + $D$82)) / $N$2</f>
        <v>520.35337960087497</v>
      </c>
      <c r="I82" s="9">
        <f>CHITEST($C$82:$D$82,$G$82:$H$82)</f>
        <v>8.1829642629945606E-4</v>
      </c>
      <c r="J82" s="14">
        <f>SUM($C$82,$D$82)</f>
        <v>869</v>
      </c>
      <c r="K82" s="15">
        <f>($J$82/2257*100)</f>
        <v>38.502436863092598</v>
      </c>
      <c r="P82" s="15">
        <f>(($C$82 - $G$82)^2 / $G$82) + (($D$82 - $H$82)^2 / $H$82)</f>
        <v>11.199267163987146</v>
      </c>
      <c r="Q82" s="19">
        <f>SQRT($P$82 / $J$82)</f>
        <v>0.11352327574455148</v>
      </c>
      <c r="R82">
        <f t="shared" si="4"/>
        <v>1.5709833309987391</v>
      </c>
      <c r="S82">
        <f t="shared" si="5"/>
        <v>8.8373333920356692E-2</v>
      </c>
      <c r="T82">
        <f t="shared" si="6"/>
        <v>1.3211334128793217</v>
      </c>
      <c r="U82" s="34">
        <f t="shared" si="7"/>
        <v>1.8680843298763279</v>
      </c>
    </row>
    <row r="83" spans="1:21">
      <c r="A83" s="1" t="s">
        <v>195</v>
      </c>
      <c r="B83" s="30" t="s">
        <v>373</v>
      </c>
      <c r="C83">
        <v>135</v>
      </c>
      <c r="D83">
        <v>186</v>
      </c>
      <c r="E83" s="5">
        <f>($C$83/881)*100</f>
        <v>15.32349602724177</v>
      </c>
      <c r="F83" s="5">
        <f>($D$83/1376)*100</f>
        <v>13.517441860465116</v>
      </c>
      <c r="G83" s="27">
        <f>($M$2 * ($C$83 + $D$83)) / $N$2</f>
        <v>128.78661121762846</v>
      </c>
      <c r="H83" s="27">
        <f>($L$2 * ($C$83 + $D$83)) / $N$2</f>
        <v>192.21338878237154</v>
      </c>
      <c r="I83" s="9">
        <f>CHITEST($C$83:$D$83,$G$83:$H$83)</f>
        <v>0.47922805727679302</v>
      </c>
      <c r="J83" s="14">
        <f>SUM($C$83,$D$83)</f>
        <v>321</v>
      </c>
      <c r="K83" s="15">
        <f>($J$83/2257*100)</f>
        <v>14.222419140451928</v>
      </c>
      <c r="P83" s="15">
        <f>(($C$83 - $G$83)^2 / $G$83) + (($D$83 - $H$83)^2 / $H$83)</f>
        <v>0.50061947358593994</v>
      </c>
      <c r="Q83" s="19">
        <f>SQRT($P$83 / $J$83)</f>
        <v>3.9491293002498144E-2</v>
      </c>
      <c r="R83">
        <f t="shared" si="4"/>
        <v>1.1577877713396179</v>
      </c>
      <c r="S83">
        <f t="shared" si="5"/>
        <v>0.12232976008154858</v>
      </c>
      <c r="T83">
        <f t="shared" si="6"/>
        <v>0.91096095773556185</v>
      </c>
      <c r="U83" s="34">
        <f t="shared" si="7"/>
        <v>1.4714928363073472</v>
      </c>
    </row>
    <row r="84" spans="1:21">
      <c r="B84" s="7"/>
      <c r="I84" s="9"/>
      <c r="J84" s="14"/>
      <c r="K84" s="15"/>
      <c r="P84" s="15"/>
      <c r="Q84" s="19"/>
      <c r="U84" s="34"/>
    </row>
    <row r="85" spans="1:21">
      <c r="A85" s="2" t="s">
        <v>51</v>
      </c>
      <c r="B85" s="7"/>
      <c r="I85" s="9"/>
      <c r="J85" s="14"/>
      <c r="K85" s="15"/>
      <c r="P85" s="15"/>
      <c r="Q85" s="19"/>
      <c r="U85" s="34"/>
    </row>
    <row r="86" spans="1:21" ht="25.5">
      <c r="A86" s="4" t="s">
        <v>196</v>
      </c>
      <c r="B86" s="30" t="s">
        <v>592</v>
      </c>
      <c r="C86">
        <v>247</v>
      </c>
      <c r="D86">
        <v>282</v>
      </c>
      <c r="E86" s="5">
        <f>($C$86/881)*100</f>
        <v>28.036322360953463</v>
      </c>
      <c r="F86" s="5">
        <f>($D$86/1376)*100</f>
        <v>20.494186046511629</v>
      </c>
      <c r="G86" s="27">
        <f>($M$2 * ($C$86 + $D$86)) / $N$2</f>
        <v>212.23712565148119</v>
      </c>
      <c r="H86" s="27">
        <f>($L$2 * ($C$86 + $D$86)) / $N$2</f>
        <v>316.76287434851884</v>
      </c>
      <c r="I86" s="9">
        <f>CHITEST($C$86:$D$86,$G$86:$H$86)</f>
        <v>2.0447497241803275E-3</v>
      </c>
      <c r="J86" s="14">
        <f>SUM($C$86,$D$86)</f>
        <v>529</v>
      </c>
      <c r="K86" s="15">
        <f>($J$86/2257*100)</f>
        <v>23.438192290651308</v>
      </c>
      <c r="P86" s="15">
        <f>(($C$86 - $G$86)^2 / $G$86) + (($D$86 - $H$86)^2 / $H$86)</f>
        <v>9.5089244936872497</v>
      </c>
      <c r="Q86" s="19">
        <f>SQRT($P$86 / $J$86)</f>
        <v>0.13407193068186304</v>
      </c>
      <c r="R86">
        <f t="shared" si="4"/>
        <v>1.5113877888896345</v>
      </c>
      <c r="S86">
        <f t="shared" si="5"/>
        <v>0.10042930914542497</v>
      </c>
      <c r="T86">
        <f t="shared" si="6"/>
        <v>1.2413342985483562</v>
      </c>
      <c r="U86" s="34">
        <f t="shared" si="7"/>
        <v>1.8401916800945575</v>
      </c>
    </row>
    <row r="87" spans="1:21" ht="25.5">
      <c r="A87" s="4" t="s">
        <v>197</v>
      </c>
      <c r="B87" s="30" t="s">
        <v>593</v>
      </c>
      <c r="C87">
        <v>322</v>
      </c>
      <c r="D87">
        <v>343</v>
      </c>
      <c r="E87" s="5">
        <f>($C$87/881)*100</f>
        <v>36.549375709421113</v>
      </c>
      <c r="F87" s="5">
        <f>($D$87/1376)*100</f>
        <v>24.927325581395348</v>
      </c>
      <c r="G87" s="27">
        <f>($M$2 * ($C$87 + $D$87)) / $N$2</f>
        <v>266.80092355053876</v>
      </c>
      <c r="H87" s="27">
        <f>($L$2 * ($C$87 + $D$87)) / $N$2</f>
        <v>398.19907644946124</v>
      </c>
      <c r="I87" s="9">
        <f>CHITEST($C$87:$D$87,$G$87:$H$87)</f>
        <v>1.2587401492143923E-5</v>
      </c>
      <c r="J87" s="14">
        <f>SUM($C$87,$D$87)</f>
        <v>665</v>
      </c>
      <c r="K87" s="15">
        <f>($J$87/2257*100)</f>
        <v>29.463890119627823</v>
      </c>
      <c r="P87" s="15">
        <f>(($C$87 - $G$87)^2 / $G$87) + (($D$87 - $H$87)^2 / $H$87)</f>
        <v>19.072063817873612</v>
      </c>
      <c r="Q87" s="19">
        <f>SQRT($P$87 / $J$87)</f>
        <v>0.16935110042408208</v>
      </c>
      <c r="R87">
        <f t="shared" si="4"/>
        <v>1.734803402577489</v>
      </c>
      <c r="S87">
        <f t="shared" si="5"/>
        <v>9.3691007753382086E-2</v>
      </c>
      <c r="T87">
        <f t="shared" si="6"/>
        <v>1.4437728458763373</v>
      </c>
      <c r="U87" s="34">
        <f t="shared" si="7"/>
        <v>2.0844988560286364</v>
      </c>
    </row>
    <row r="88" spans="1:21">
      <c r="A88" s="1" t="s">
        <v>198</v>
      </c>
      <c r="B88" s="30" t="s">
        <v>594</v>
      </c>
      <c r="C88">
        <v>287</v>
      </c>
      <c r="D88">
        <v>291</v>
      </c>
      <c r="E88" s="5">
        <f>($C$88/881)*100</f>
        <v>32.576617480136214</v>
      </c>
      <c r="F88" s="5">
        <f>($D$88/1376)*100</f>
        <v>21.148255813953487</v>
      </c>
      <c r="G88" s="27">
        <f>($M$2 * ($C$88 + $D$88)) / $N$2</f>
        <v>231.89614107099456</v>
      </c>
      <c r="H88" s="27">
        <f>($L$2 * ($C$88 + $D$88)) / $N$2</f>
        <v>346.10385892900541</v>
      </c>
      <c r="I88" s="9">
        <f>CHITEST($C$88:$D$88,$G$88:$H$88)</f>
        <v>2.921955353065387E-6</v>
      </c>
      <c r="J88" s="14">
        <f>SUM($C$88,$D$88)</f>
        <v>578</v>
      </c>
      <c r="K88" s="15">
        <f>($J$88/2257*100)</f>
        <v>25.609215773150201</v>
      </c>
      <c r="P88" s="15">
        <f>(($C$88 - $G$88)^2 / $G$88) + (($D$88 - $H$88)^2 / $H$88)</f>
        <v>21.867135817871976</v>
      </c>
      <c r="Q88" s="19">
        <f>SQRT($P$88 / $J$88)</f>
        <v>0.19450556524123702</v>
      </c>
      <c r="R88">
        <f t="shared" si="4"/>
        <v>1.8014914320756243</v>
      </c>
      <c r="S88">
        <f t="shared" si="5"/>
        <v>9.7600754833180342E-2</v>
      </c>
      <c r="T88">
        <f t="shared" si="6"/>
        <v>1.4878281151506905</v>
      </c>
      <c r="U88" s="34">
        <f t="shared" si="7"/>
        <v>2.1812811216524066</v>
      </c>
    </row>
    <row r="89" spans="1:21">
      <c r="A89" s="1" t="s">
        <v>199</v>
      </c>
      <c r="B89" s="30" t="s">
        <v>409</v>
      </c>
      <c r="C89">
        <v>190</v>
      </c>
      <c r="D89">
        <v>297</v>
      </c>
      <c r="E89" s="5">
        <f>($C$89/881)*100</f>
        <v>21.566401816118049</v>
      </c>
      <c r="F89" s="5">
        <f>($D$89/1376)*100</f>
        <v>21.584302325581394</v>
      </c>
      <c r="G89" s="27">
        <f>($M$2 * ($C$89 + $D$89)) / $N$2</f>
        <v>195.38654100618402</v>
      </c>
      <c r="H89" s="27">
        <f>($L$2 * ($C$89 + $D$89)) / $N$2</f>
        <v>291.61345899381598</v>
      </c>
      <c r="I89" s="9">
        <f>CHITEST($C$89:$D$89,$G$89:$H$89)</f>
        <v>0.6184888884465326</v>
      </c>
      <c r="J89" s="14">
        <f>SUM($C$89,$D$89)</f>
        <v>487</v>
      </c>
      <c r="K89" s="15">
        <f>($J$89/2257*100)</f>
        <v>21.57731501993797</v>
      </c>
      <c r="P89" s="15">
        <f>(($C$89 - $G$89)^2 / $G$89) + (($D$89 - $H$89)^2 / $H$89)</f>
        <v>0.24799715181040688</v>
      </c>
      <c r="Q89" s="19">
        <f>SQRT($P$89 / $J$89)</f>
        <v>2.2566222501074061E-2</v>
      </c>
      <c r="R89">
        <f t="shared" si="4"/>
        <v>0.99894263425377749</v>
      </c>
      <c r="S89">
        <f t="shared" si="5"/>
        <v>0.10490054015089124</v>
      </c>
      <c r="T89">
        <f t="shared" si="6"/>
        <v>0.81329369691844755</v>
      </c>
      <c r="U89" s="34">
        <f t="shared" si="7"/>
        <v>1.2269692858937016</v>
      </c>
    </row>
    <row r="90" spans="1:21">
      <c r="B90" s="7"/>
      <c r="I90" s="9"/>
      <c r="J90" s="14"/>
      <c r="K90" s="15"/>
      <c r="P90" s="15"/>
      <c r="Q90" s="19"/>
      <c r="U90" s="34"/>
    </row>
    <row r="91" spans="1:21">
      <c r="A91" s="2" t="s">
        <v>52</v>
      </c>
      <c r="B91" s="7"/>
      <c r="I91" s="9"/>
      <c r="J91" s="14"/>
      <c r="K91" s="15"/>
      <c r="P91" s="15"/>
      <c r="Q91" s="19"/>
      <c r="U91" s="34"/>
    </row>
    <row r="92" spans="1:21">
      <c r="A92" s="1" t="s">
        <v>200</v>
      </c>
      <c r="B92" s="30" t="s">
        <v>595</v>
      </c>
      <c r="C92">
        <v>257</v>
      </c>
      <c r="D92">
        <v>256</v>
      </c>
      <c r="E92" s="5">
        <f>($C$92/881)*100</f>
        <v>29.171396140749152</v>
      </c>
      <c r="F92" s="5">
        <f>($D$92/1376)*100</f>
        <v>18.604651162790699</v>
      </c>
      <c r="G92" s="27">
        <f>($M$2 * ($C$92 + $D$92)) / $N$2</f>
        <v>205.81785531041561</v>
      </c>
      <c r="H92" s="27">
        <f>($L$2 * ($C$92 + $D$92)) / $N$2</f>
        <v>307.18214468958439</v>
      </c>
      <c r="I92" s="9">
        <f>CHITEST($C$92:$D$92,$G$92:$H$92)</f>
        <v>4.0191447013066179E-6</v>
      </c>
      <c r="J92" s="14">
        <f>SUM($C$92,$D$92)</f>
        <v>513</v>
      </c>
      <c r="K92" s="15">
        <f>($J$92/2257*100)</f>
        <v>22.729286663712895</v>
      </c>
      <c r="P92" s="15">
        <f>(($C$92 - $G$92)^2 / $G$92) + (($D$92 - $H$92)^2 / $H$92)</f>
        <v>21.255694960147828</v>
      </c>
      <c r="Q92" s="19">
        <f>SQRT($P$92 / $J$92)</f>
        <v>0.20355368637328977</v>
      </c>
      <c r="R92">
        <f t="shared" si="4"/>
        <v>1.8018830128205128</v>
      </c>
      <c r="S92">
        <f t="shared" si="5"/>
        <v>0.10145305233988199</v>
      </c>
      <c r="T92">
        <f t="shared" si="6"/>
        <v>1.4769575371557406</v>
      </c>
      <c r="U92" s="34">
        <f t="shared" si="7"/>
        <v>2.1982909529976316</v>
      </c>
    </row>
    <row r="93" spans="1:21">
      <c r="A93" s="1" t="s">
        <v>201</v>
      </c>
      <c r="B93" s="30" t="s">
        <v>596</v>
      </c>
      <c r="C93">
        <v>287</v>
      </c>
      <c r="D93">
        <v>321</v>
      </c>
      <c r="E93" s="5">
        <f>($C$93/881)*100</f>
        <v>32.576617480136214</v>
      </c>
      <c r="F93" s="5">
        <f>($D$93/1376)*100</f>
        <v>23.328488372093023</v>
      </c>
      <c r="G93" s="27">
        <f>($M$2 * ($C$93 + $D$93)) / $N$2</f>
        <v>243.93227296049255</v>
      </c>
      <c r="H93" s="27">
        <f>($L$2 * ($C$93 + $D$93)) / $N$2</f>
        <v>364.06772703950742</v>
      </c>
      <c r="I93" s="9">
        <f>CHITEST($C$93:$D$93,$G$93:$H$93)</f>
        <v>3.6592832272270431E-4</v>
      </c>
      <c r="J93" s="14">
        <f>SUM($C$93,$D$93)</f>
        <v>608</v>
      </c>
      <c r="K93" s="15">
        <f>($J$93/2257*100)</f>
        <v>26.938413823659722</v>
      </c>
      <c r="P93" s="15">
        <f>(($C$93 - $G$93)^2 / $G$93) + (($D$93 - $H$93)^2 / $H$93)</f>
        <v>12.698605693036578</v>
      </c>
      <c r="Q93" s="19">
        <f>SQRT($P$93 / $J$93)</f>
        <v>0.14451942646822571</v>
      </c>
      <c r="R93">
        <f t="shared" si="4"/>
        <v>1.5879721409316427</v>
      </c>
      <c r="S93">
        <f t="shared" si="5"/>
        <v>9.6077855602001022E-2</v>
      </c>
      <c r="T93">
        <f t="shared" si="6"/>
        <v>1.3154058144913765</v>
      </c>
      <c r="U93" s="34">
        <f t="shared" si="7"/>
        <v>1.9170171612401341</v>
      </c>
    </row>
    <row r="94" spans="1:21">
      <c r="A94" s="1" t="s">
        <v>202</v>
      </c>
      <c r="B94" s="30" t="s">
        <v>597</v>
      </c>
      <c r="C94">
        <v>316</v>
      </c>
      <c r="D94">
        <v>362</v>
      </c>
      <c r="E94" s="5">
        <f>($C$94/881)*100</f>
        <v>35.868331441543702</v>
      </c>
      <c r="F94" s="5">
        <f>($D$94/1376)*100</f>
        <v>26.308139534883722</v>
      </c>
      <c r="G94" s="27">
        <f>($M$2 * ($C$94 + $D$94)) / $N$2</f>
        <v>272.01658070265455</v>
      </c>
      <c r="H94" s="27">
        <f>($L$2 * ($C$94 + $D$94)) / $N$2</f>
        <v>405.98341929734545</v>
      </c>
      <c r="I94" s="9">
        <f>CHITEST($C$94:$D$94,$G$94:$H$94)</f>
        <v>5.6833711625168843E-4</v>
      </c>
      <c r="J94" s="14">
        <f>SUM($C$94,$D$94)</f>
        <v>678</v>
      </c>
      <c r="K94" s="15">
        <f>($J$94/2257*100)</f>
        <v>30.039875941515287</v>
      </c>
      <c r="P94" s="15">
        <f>(($C$94 - $G$94)^2 / $G$94) + (($D$94 - $H$94)^2 / $H$94)</f>
        <v>11.876924535447309</v>
      </c>
      <c r="Q94" s="19">
        <f>SQRT($P$94 / $J$94)</f>
        <v>0.13235402453417977</v>
      </c>
      <c r="R94">
        <f t="shared" si="4"/>
        <v>1.5666357013641032</v>
      </c>
      <c r="S94">
        <f t="shared" si="5"/>
        <v>9.3183113811259904E-2</v>
      </c>
      <c r="T94">
        <f t="shared" si="6"/>
        <v>1.3051155118639941</v>
      </c>
      <c r="U94" s="34">
        <f t="shared" si="7"/>
        <v>1.8805595355182343</v>
      </c>
    </row>
    <row r="95" spans="1:21">
      <c r="A95" s="1" t="s">
        <v>203</v>
      </c>
      <c r="B95" s="30" t="s">
        <v>598</v>
      </c>
      <c r="C95">
        <v>299</v>
      </c>
      <c r="D95">
        <v>496</v>
      </c>
      <c r="E95" s="5">
        <f>($C$95/881)*100</f>
        <v>33.938706015891036</v>
      </c>
      <c r="F95" s="5">
        <f>($D$95/1376)*100</f>
        <v>36.046511627906973</v>
      </c>
      <c r="G95" s="27">
        <f>($M$2 * ($C$95 + $D$95)) / $N$2</f>
        <v>318.95749507169671</v>
      </c>
      <c r="H95" s="27">
        <f>($L$2 * ($C$95 + $D$95)) / $N$2</f>
        <v>476.04250492830329</v>
      </c>
      <c r="I95" s="9">
        <f>CHITEST($C$95:$D$95,$G$95:$H$95)</f>
        <v>0.14870799087626202</v>
      </c>
      <c r="J95" s="14">
        <f>SUM($C$95,$D$95)</f>
        <v>795</v>
      </c>
      <c r="K95" s="15">
        <f>($J$95/2257*100)</f>
        <v>35.223748338502439</v>
      </c>
      <c r="P95" s="15">
        <f>(($C$95 - $G$95)^2 / $G$95) + (($D$95 - $H$95)^2 / $H$95)</f>
        <v>2.0854541513389511</v>
      </c>
      <c r="Q95" s="19">
        <f>SQRT($P$95 / $J$95)</f>
        <v>5.1217309271181094E-2</v>
      </c>
      <c r="R95">
        <f t="shared" si="4"/>
        <v>0.91148431437756339</v>
      </c>
      <c r="S95">
        <f t="shared" si="5"/>
        <v>9.0637670603298914E-2</v>
      </c>
      <c r="T95">
        <f t="shared" si="6"/>
        <v>0.76312706512685491</v>
      </c>
      <c r="U95" s="34">
        <f t="shared" si="7"/>
        <v>1.0886832525304708</v>
      </c>
    </row>
    <row r="96" spans="1:21">
      <c r="A96" s="1"/>
      <c r="B96" s="7"/>
      <c r="I96" s="9"/>
      <c r="J96" s="14"/>
      <c r="K96" s="15"/>
      <c r="P96" s="15"/>
      <c r="Q96" s="19"/>
      <c r="U96" s="34"/>
    </row>
    <row r="97" spans="1:21">
      <c r="A97" s="2" t="s">
        <v>53</v>
      </c>
      <c r="B97" s="7"/>
      <c r="I97" s="9"/>
      <c r="J97" s="14"/>
      <c r="K97" s="15"/>
      <c r="P97" s="15"/>
      <c r="Q97" s="19"/>
      <c r="U97" s="34"/>
    </row>
    <row r="98" spans="1:21">
      <c r="A98" s="1" t="s">
        <v>204</v>
      </c>
      <c r="B98" s="30" t="s">
        <v>410</v>
      </c>
      <c r="C98">
        <v>278</v>
      </c>
      <c r="D98">
        <v>370</v>
      </c>
      <c r="E98" s="5">
        <f>($C$98/881)*100</f>
        <v>31.555051078320091</v>
      </c>
      <c r="F98" s="5">
        <f>($D$98/1376)*100</f>
        <v>26.889534883720927</v>
      </c>
      <c r="G98" s="27">
        <f>($M$2 * ($C$98 + $D$98)) / $N$2</f>
        <v>259.98044881315656</v>
      </c>
      <c r="H98" s="27">
        <f>($L$2 * ($C$98 + $D$98)) / $N$2</f>
        <v>388.01955118684344</v>
      </c>
      <c r="I98" s="9">
        <f>CHITEST($C$98:$D$98,$G$98:$H$98)</f>
        <v>0.14867619489429754</v>
      </c>
      <c r="J98" s="14">
        <f>SUM($C$98,$D$98)</f>
        <v>648</v>
      </c>
      <c r="K98" s="15">
        <f>($J$98/2257*100)</f>
        <v>28.710677891005759</v>
      </c>
      <c r="P98" s="15">
        <f>(($C$98 - $G$98)^2 / $G$98) + (($D$98 - $H$98)^2 / $H$98)</f>
        <v>2.0857807132809603</v>
      </c>
      <c r="Q98" s="19">
        <f>SQRT($P$98 / $J$98)</f>
        <v>5.6734446300625151E-2</v>
      </c>
      <c r="R98">
        <f t="shared" si="4"/>
        <v>1.2534982743937968</v>
      </c>
      <c r="S98">
        <f t="shared" si="5"/>
        <v>9.4616254326898824E-2</v>
      </c>
      <c r="T98">
        <f t="shared" si="6"/>
        <v>1.0413213166188688</v>
      </c>
      <c r="U98" s="34">
        <f t="shared" si="7"/>
        <v>1.5089078642988329</v>
      </c>
    </row>
    <row r="99" spans="1:21">
      <c r="A99" s="1" t="s">
        <v>205</v>
      </c>
      <c r="B99" s="30" t="s">
        <v>411</v>
      </c>
      <c r="C99">
        <v>126</v>
      </c>
      <c r="D99">
        <v>219</v>
      </c>
      <c r="E99" s="5">
        <f>($C$99/881)*100</f>
        <v>14.301929625425652</v>
      </c>
      <c r="F99" s="5">
        <f>($D$99/1376)*100</f>
        <v>15.915697674418606</v>
      </c>
      <c r="G99" s="27">
        <f>($M$2 * ($C$99 + $D$99)) / $N$2</f>
        <v>138.41551672922685</v>
      </c>
      <c r="H99" s="27">
        <f>($L$2 * ($C$99 + $D$99)) / $N$2</f>
        <v>206.58448327077315</v>
      </c>
      <c r="I99" s="9">
        <f>CHITEST($C$99:$D$99,$G$99:$H$99)</f>
        <v>0.17264789774117179</v>
      </c>
      <c r="J99" s="14">
        <f>SUM($C$99,$D$99)</f>
        <v>345</v>
      </c>
      <c r="K99" s="15">
        <f>($J$99/2257*100)</f>
        <v>15.285777580859547</v>
      </c>
      <c r="P99" s="15">
        <f>(($C$99 - $G$99)^2 / $G$99) + (($D$99 - $H$99)^2 / $H$99)</f>
        <v>1.8597998887836691</v>
      </c>
      <c r="Q99" s="19">
        <f>SQRT($P$99 / $J$99)</f>
        <v>7.3421552117310773E-2</v>
      </c>
      <c r="R99">
        <f t="shared" si="4"/>
        <v>0.88168375215458594</v>
      </c>
      <c r="S99">
        <f t="shared" si="5"/>
        <v>0.12120860336015371</v>
      </c>
      <c r="T99">
        <f t="shared" si="6"/>
        <v>0.6952451877476894</v>
      </c>
      <c r="U99" s="34">
        <f t="shared" si="7"/>
        <v>1.1181181150375721</v>
      </c>
    </row>
    <row r="100" spans="1:21">
      <c r="A100" s="1" t="s">
        <v>206</v>
      </c>
      <c r="B100" s="30" t="s">
        <v>412</v>
      </c>
      <c r="C100">
        <v>307</v>
      </c>
      <c r="D100">
        <v>426</v>
      </c>
      <c r="E100" s="5">
        <f>($C$100/881)*100</f>
        <v>34.846765039727586</v>
      </c>
      <c r="F100" s="5">
        <f>($D$100/1376)*100</f>
        <v>30.959302325581394</v>
      </c>
      <c r="G100" s="27">
        <f>($M$2 * ($C$100 + $D$100)) / $N$2</f>
        <v>294.08282250006749</v>
      </c>
      <c r="H100" s="27">
        <f>($L$2 * ($C$100 + $D$100)) / $N$2</f>
        <v>438.91717749993251</v>
      </c>
      <c r="I100" s="9">
        <f>CHITEST($C$100:$D$100,$G$100:$H$100)</f>
        <v>0.33035213928428764</v>
      </c>
      <c r="J100" s="14">
        <f>SUM($C$100,$D$100)</f>
        <v>733</v>
      </c>
      <c r="K100" s="15">
        <f>($J$100/2257*100)</f>
        <v>32.476739034116079</v>
      </c>
      <c r="P100" s="15">
        <f>(($C$100 - $G$100)^2 / $G$100) + (($D$100 - $H$100)^2 / $H$100)</f>
        <v>0.94751696322488321</v>
      </c>
      <c r="Q100" s="19">
        <f>SQRT($P$100 / $J$100)</f>
        <v>3.5953527743411963E-2</v>
      </c>
      <c r="R100">
        <f t="shared" si="4"/>
        <v>1.1927254584417073</v>
      </c>
      <c r="S100">
        <f t="shared" si="5"/>
        <v>9.1648997202896945E-2</v>
      </c>
      <c r="T100">
        <f t="shared" si="6"/>
        <v>0.99661469817447346</v>
      </c>
      <c r="U100" s="34">
        <f t="shared" si="7"/>
        <v>1.4274262880336659</v>
      </c>
    </row>
    <row r="101" spans="1:21">
      <c r="A101" s="1" t="s">
        <v>207</v>
      </c>
      <c r="B101" s="30" t="s">
        <v>599</v>
      </c>
      <c r="C101">
        <v>191</v>
      </c>
      <c r="D101">
        <v>286</v>
      </c>
      <c r="E101" s="5">
        <f>($C$101/881)*100</f>
        <v>21.679909194097615</v>
      </c>
      <c r="F101" s="5">
        <f>($D$101/1376)*100</f>
        <v>20.784883720930232</v>
      </c>
      <c r="G101" s="27">
        <f>($M$2 * ($C$101 + $D$101)) / $N$2</f>
        <v>191.37449704301801</v>
      </c>
      <c r="H101" s="27">
        <f>($L$2 * ($C$101 + $D$101)) / $N$2</f>
        <v>285.62550295698196</v>
      </c>
      <c r="I101" s="9">
        <f>CHITEST($C$101:$D$101,$G$101:$H$101)</f>
        <v>0.97209265363972985</v>
      </c>
      <c r="J101" s="14">
        <f>SUM($C$101,$D$101)</f>
        <v>477</v>
      </c>
      <c r="K101" s="15">
        <f>($J$101/2257*100)</f>
        <v>21.134249003101463</v>
      </c>
      <c r="P101" s="15">
        <f>(($C$101 - $G$101)^2 / $G$101) + (($D$101 - $H$101)^2 / $H$101)</f>
        <v>1.2238667058785443E-3</v>
      </c>
      <c r="Q101" s="19">
        <f>SQRT($P$101 / $J$101)</f>
        <v>1.6017984558759021E-3</v>
      </c>
      <c r="R101">
        <f t="shared" si="4"/>
        <v>1.0549812506334244</v>
      </c>
      <c r="S101">
        <f t="shared" si="5"/>
        <v>0.1053509000707812</v>
      </c>
      <c r="T101">
        <f t="shared" si="6"/>
        <v>0.85815995487184993</v>
      </c>
      <c r="U101" s="34">
        <f t="shared" si="7"/>
        <v>1.2969440404082566</v>
      </c>
    </row>
    <row r="102" spans="1:21">
      <c r="B102" s="7"/>
      <c r="I102" s="9"/>
      <c r="J102" s="14"/>
      <c r="K102" s="15"/>
      <c r="P102" s="15"/>
      <c r="Q102" s="19"/>
      <c r="U102" s="34"/>
    </row>
    <row r="103" spans="1:21">
      <c r="A103" s="2" t="s">
        <v>54</v>
      </c>
      <c r="B103" s="7"/>
      <c r="I103" s="9"/>
      <c r="J103" s="14"/>
      <c r="K103" s="15"/>
      <c r="P103" s="15"/>
      <c r="Q103" s="19"/>
      <c r="U103" s="34"/>
    </row>
    <row r="104" spans="1:21">
      <c r="A104" s="1" t="s">
        <v>208</v>
      </c>
      <c r="B104" s="30" t="s">
        <v>413</v>
      </c>
      <c r="C104">
        <v>416</v>
      </c>
      <c r="D104">
        <v>645</v>
      </c>
      <c r="E104" s="5">
        <f>($C$104/881)*100</f>
        <v>47.21906923950057</v>
      </c>
      <c r="F104" s="5">
        <f>($D$104/1376)*100</f>
        <v>46.875</v>
      </c>
      <c r="G104" s="27">
        <f>($M$2 * ($C$104 + $D$104)) / $N$2</f>
        <v>425.6778644919122</v>
      </c>
      <c r="H104" s="27">
        <f>($L$2 * ($C$104 + $D$104)) / $N$2</f>
        <v>635.32213550808785</v>
      </c>
      <c r="I104" s="9">
        <f>CHITEST($C$104:$D$104,$G$104:$H$104)</f>
        <v>0.54439699446826706</v>
      </c>
      <c r="J104" s="14">
        <f>SUM($C$104,$D$104)</f>
        <v>1061</v>
      </c>
      <c r="K104" s="15">
        <f>($J$104/2257*100)</f>
        <v>47.00930438635357</v>
      </c>
      <c r="P104" s="15">
        <f>(($C$104 - $G$104)^2 / $G$104) + (($D$104 - $H$104)^2 / $H$104)</f>
        <v>0.36745097447619901</v>
      </c>
      <c r="Q104" s="19">
        <f>SQRT($P$104 / $J$104)</f>
        <v>1.8609813026529153E-2</v>
      </c>
      <c r="R104">
        <f t="shared" si="4"/>
        <v>1.0139068100358424</v>
      </c>
      <c r="S104">
        <f t="shared" si="5"/>
        <v>8.6445129655993533E-2</v>
      </c>
      <c r="T104">
        <f t="shared" si="6"/>
        <v>0.85588311804974249</v>
      </c>
      <c r="U104" s="34">
        <f t="shared" si="7"/>
        <v>1.2011067840425751</v>
      </c>
    </row>
    <row r="105" spans="1:21" ht="25.5">
      <c r="A105" s="4" t="s">
        <v>209</v>
      </c>
      <c r="B105" s="30" t="s">
        <v>600</v>
      </c>
      <c r="C105">
        <v>176</v>
      </c>
      <c r="D105">
        <v>255</v>
      </c>
      <c r="E105" s="5">
        <f>($C$105/881)*100</f>
        <v>19.977298524404084</v>
      </c>
      <c r="F105" s="5">
        <f>($D$105/1376)*100</f>
        <v>18.531976744186046</v>
      </c>
      <c r="G105" s="27">
        <f>($M$2 * ($C$105 + $D$105)) / $N$2</f>
        <v>172.91909481245443</v>
      </c>
      <c r="H105" s="27">
        <f>($L$2 * ($C$105 + $D$105)) / $N$2</f>
        <v>258.08090518754557</v>
      </c>
      <c r="I105" s="9">
        <f>CHITEST($C$105:$D$105,$G$105:$H$105)</f>
        <v>0.76206264262229018</v>
      </c>
      <c r="J105" s="14">
        <f>SUM($C$105,$D$105)</f>
        <v>431</v>
      </c>
      <c r="K105" s="15">
        <f>($J$105/2257*100)</f>
        <v>19.09614532565352</v>
      </c>
      <c r="P105" s="15">
        <f>(($C$105 - $G$105)^2 / $G$105) + (($D$105 - $H$105)^2 / $H$105)</f>
        <v>9.1671663093958328E-2</v>
      </c>
      <c r="Q105" s="19">
        <f>SQRT($P$105 / $J$105)</f>
        <v>1.4584076042036509E-2</v>
      </c>
      <c r="R105">
        <f t="shared" si="4"/>
        <v>1.097460714782367</v>
      </c>
      <c r="S105">
        <f t="shared" si="5"/>
        <v>0.10915075439824549</v>
      </c>
      <c r="T105">
        <f t="shared" si="6"/>
        <v>0.88609030562984725</v>
      </c>
      <c r="U105" s="34">
        <f t="shared" si="7"/>
        <v>1.3592520004318327</v>
      </c>
    </row>
    <row r="106" spans="1:21">
      <c r="A106" s="1" t="s">
        <v>210</v>
      </c>
      <c r="B106" s="30" t="s">
        <v>414</v>
      </c>
      <c r="C106">
        <v>224</v>
      </c>
      <c r="D106">
        <v>295</v>
      </c>
      <c r="E106" s="5">
        <f>($C$106/881)*100</f>
        <v>25.425652667423382</v>
      </c>
      <c r="F106" s="5">
        <f>($D$106/1376)*100</f>
        <v>21.438953488372093</v>
      </c>
      <c r="G106" s="27">
        <f>($M$2 * ($C$106 + $D$106)) / $N$2</f>
        <v>208.22508168831519</v>
      </c>
      <c r="H106" s="27">
        <f>($L$2 * ($C$106 + $D$106)) / $N$2</f>
        <v>310.77491831168481</v>
      </c>
      <c r="I106" s="9">
        <f>CHITEST($C$106:$D$106,$G$106:$H$106)</f>
        <v>0.15773308994833221</v>
      </c>
      <c r="J106" s="14">
        <f>SUM($C$106,$D$106)</f>
        <v>519</v>
      </c>
      <c r="K106" s="15">
        <f>($J$106/2257*100)</f>
        <v>22.995126273814797</v>
      </c>
      <c r="P106" s="15">
        <f>(($C$106 - $G$106)^2 / $G$106) + (($D$106 - $H$106)^2 / $H$106)</f>
        <v>1.9958256220291473</v>
      </c>
      <c r="Q106" s="19">
        <f>SQRT($P$106 / $J$106)</f>
        <v>6.2012268380769682E-2</v>
      </c>
      <c r="R106">
        <f t="shared" si="4"/>
        <v>1.2493563449681397</v>
      </c>
      <c r="S106">
        <f t="shared" si="5"/>
        <v>0.10149510144920544</v>
      </c>
      <c r="T106">
        <f t="shared" si="6"/>
        <v>1.0239811270470707</v>
      </c>
      <c r="U106" s="34">
        <f t="shared" si="7"/>
        <v>1.5243359818685387</v>
      </c>
    </row>
    <row r="107" spans="1:21">
      <c r="A107" s="4" t="s">
        <v>211</v>
      </c>
      <c r="B107" s="30" t="s">
        <v>601</v>
      </c>
      <c r="C107">
        <v>276</v>
      </c>
      <c r="D107">
        <v>375</v>
      </c>
      <c r="E107" s="5">
        <f>($C$107/881)*100</f>
        <v>31.328036322360951</v>
      </c>
      <c r="F107" s="5">
        <f>($D$107/1376)*100</f>
        <v>27.252906976744185</v>
      </c>
      <c r="G107" s="27">
        <f>($M$2 * ($C$107 + $D$107)) / $N$2</f>
        <v>261.18406200210632</v>
      </c>
      <c r="H107" s="27">
        <f>($L$2 * ($C$107 + $D$107)) / $N$2</f>
        <v>389.81593799789368</v>
      </c>
      <c r="I107" s="9">
        <f>CHITEST($C$107:$D$107,$G$107:$H$107)</f>
        <v>0.23612731514528099</v>
      </c>
      <c r="J107" s="14">
        <f>SUM($C$107,$D$107)</f>
        <v>651</v>
      </c>
      <c r="K107" s="15">
        <f>($J$107/2257*100)</f>
        <v>28.843597696056712</v>
      </c>
      <c r="P107" s="15">
        <f>(($C$107 - $G$107)^2 / $G$107) + (($D$107 - $H$107)^2 / $H$107)</f>
        <v>1.4035666124280246</v>
      </c>
      <c r="Q107" s="19">
        <f>SQRT($P$107 / $J$107)</f>
        <v>4.6432922605978151E-2</v>
      </c>
      <c r="R107">
        <f t="shared" si="4"/>
        <v>1.2177454545454545</v>
      </c>
      <c r="S107">
        <f t="shared" si="5"/>
        <v>9.4560819758757575E-2</v>
      </c>
      <c r="T107">
        <f t="shared" si="6"/>
        <v>1.0117302200054492</v>
      </c>
      <c r="U107" s="34">
        <f t="shared" si="7"/>
        <v>1.4657108809679804</v>
      </c>
    </row>
    <row r="108" spans="1:21">
      <c r="A108" s="1" t="s">
        <v>212</v>
      </c>
      <c r="B108" s="30" t="s">
        <v>602</v>
      </c>
      <c r="C108">
        <v>393</v>
      </c>
      <c r="D108">
        <v>599</v>
      </c>
      <c r="E108" s="5">
        <f>($C$108/881)*100</f>
        <v>44.608399545970492</v>
      </c>
      <c r="F108" s="5">
        <f>($D$108/1376)*100</f>
        <v>43.531976744186046</v>
      </c>
      <c r="G108" s="27">
        <f>($M$2 * ($C$108 + $D$108)) / $N$2</f>
        <v>397.99476114606682</v>
      </c>
      <c r="H108" s="27">
        <f>($L$2 * ($C$108 + $D$108)) / $N$2</f>
        <v>594.00523885393318</v>
      </c>
      <c r="I108" s="9">
        <f>CHITEST($C$108:$D$108,$G$108:$H$108)</f>
        <v>0.74628137547295914</v>
      </c>
      <c r="J108" s="14">
        <f>SUM($C$108,$D$108)</f>
        <v>992</v>
      </c>
      <c r="K108" s="15">
        <f>($J$108/2257*100)</f>
        <v>43.952148870181659</v>
      </c>
      <c r="P108" s="15">
        <f>(($C$108 - $G$108)^2 / $G$108) + (($D$108 - $H$108)^2 / $H$108)</f>
        <v>0.10468235659498909</v>
      </c>
      <c r="Q108" s="19">
        <f>SQRT($P$108 / $J$108)</f>
        <v>1.027261257656369E-2</v>
      </c>
      <c r="R108">
        <f t="shared" si="4"/>
        <v>1.0446406579271463</v>
      </c>
      <c r="S108">
        <f t="shared" si="5"/>
        <v>8.6891656439267287E-2</v>
      </c>
      <c r="T108">
        <f t="shared" si="6"/>
        <v>0.8810554736412245</v>
      </c>
      <c r="U108" s="34">
        <f t="shared" si="7"/>
        <v>1.2385986318028823</v>
      </c>
    </row>
    <row r="109" spans="1:21">
      <c r="A109" s="1" t="s">
        <v>213</v>
      </c>
      <c r="B109" s="30" t="s">
        <v>415</v>
      </c>
      <c r="C109">
        <v>199</v>
      </c>
      <c r="D109">
        <v>342</v>
      </c>
      <c r="E109" s="5">
        <f>($C$109/881)*100</f>
        <v>22.587968217934165</v>
      </c>
      <c r="F109" s="5">
        <f>($D$109/1376)*100</f>
        <v>24.854651162790699</v>
      </c>
      <c r="G109" s="27">
        <f>($M$2 * ($C$109 + $D$109)) / $N$2</f>
        <v>217.05157840728037</v>
      </c>
      <c r="H109" s="27">
        <f>($L$2 * ($C$109 + $D$109)) / $N$2</f>
        <v>323.94842159271963</v>
      </c>
      <c r="I109" s="9">
        <f>CHITEST($C$109:$D$109,$G$109:$H$109)</f>
        <v>0.11332719570785454</v>
      </c>
      <c r="J109" s="14">
        <f>SUM($C$109,$D$109)</f>
        <v>541</v>
      </c>
      <c r="K109" s="15">
        <f>($J$109/2257*100)</f>
        <v>23.969871510855118</v>
      </c>
      <c r="P109" s="15">
        <f>(($C$109 - $G$109)^2 / $G$109) + (($D$109 - $H$109)^2 / $H$109)</f>
        <v>2.5071990387323222</v>
      </c>
      <c r="Q109" s="19">
        <f>SQRT($P$109 / $J$109)</f>
        <v>6.8076273396134257E-2</v>
      </c>
      <c r="R109">
        <f t="shared" si="4"/>
        <v>0.8821920392378797</v>
      </c>
      <c r="S109">
        <f t="shared" si="5"/>
        <v>0.10189453314357189</v>
      </c>
      <c r="T109">
        <f t="shared" si="6"/>
        <v>0.72248487022880281</v>
      </c>
      <c r="U109" s="34">
        <f t="shared" si="7"/>
        <v>1.0772028954021164</v>
      </c>
    </row>
    <row r="110" spans="1:21">
      <c r="B110" s="7"/>
      <c r="I110" s="9"/>
      <c r="J110" s="14"/>
      <c r="K110" s="15"/>
      <c r="P110" s="15"/>
      <c r="Q110" s="19"/>
      <c r="U110" s="34"/>
    </row>
    <row r="111" spans="1:21">
      <c r="A111" s="2" t="s">
        <v>55</v>
      </c>
      <c r="B111" s="7"/>
      <c r="I111" s="9"/>
      <c r="J111" s="14"/>
      <c r="K111" s="15"/>
      <c r="P111" s="15"/>
      <c r="Q111" s="19"/>
      <c r="U111" s="34"/>
    </row>
    <row r="112" spans="1:21">
      <c r="A112" s="1" t="s">
        <v>214</v>
      </c>
      <c r="B112" s="30" t="s">
        <v>603</v>
      </c>
      <c r="C112">
        <v>322</v>
      </c>
      <c r="D112">
        <v>762</v>
      </c>
      <c r="E112" s="5">
        <f>($C$112/881)*100</f>
        <v>36.549375709421113</v>
      </c>
      <c r="F112" s="5">
        <f>($D$112/1376)*100</f>
        <v>55.377906976744185</v>
      </c>
      <c r="G112" s="27">
        <f>($M$2 * ($C$112 + $D$112)) / $N$2</f>
        <v>434.90556560719398</v>
      </c>
      <c r="H112" s="27">
        <f>($L$2 * ($C$112 + $D$112)) / $N$2</f>
        <v>649.09443439280608</v>
      </c>
      <c r="I112" s="9">
        <f>CHITEST($C$112:$D$112,$G$112:$H$112)</f>
        <v>2.6250431178439572E-12</v>
      </c>
      <c r="J112" s="14">
        <f>SUM($C$112,$D$112)</f>
        <v>1084</v>
      </c>
      <c r="K112" s="15">
        <f>($J$112/2257*100)</f>
        <v>48.028356225077538</v>
      </c>
      <c r="P112" s="15">
        <f>(($C$112 - $G$112)^2 / $G$112) + (($D$112 - $H$112)^2 / $H$112)</f>
        <v>48.950500068722519</v>
      </c>
      <c r="Q112" s="19">
        <f>SQRT($P$112 / $J$112)</f>
        <v>0.21250244207132157</v>
      </c>
      <c r="R112">
        <f t="shared" si="4"/>
        <v>0.46414904755867947</v>
      </c>
      <c r="S112">
        <f t="shared" si="5"/>
        <v>8.851835561556716E-2</v>
      </c>
      <c r="T112">
        <f t="shared" si="6"/>
        <v>0.3902196348259257</v>
      </c>
      <c r="U112" s="34">
        <f t="shared" si="7"/>
        <v>0.55208482383448765</v>
      </c>
    </row>
    <row r="113" spans="1:21">
      <c r="A113" s="1" t="s">
        <v>215</v>
      </c>
      <c r="B113" s="30" t="s">
        <v>604</v>
      </c>
      <c r="C113">
        <v>236</v>
      </c>
      <c r="D113">
        <v>479</v>
      </c>
      <c r="E113" s="5">
        <f>($C$113/881)*100</f>
        <v>26.787741203178207</v>
      </c>
      <c r="F113" s="5">
        <f>($D$113/1376)*100</f>
        <v>34.811046511627907</v>
      </c>
      <c r="G113" s="27">
        <f>($M$2 * ($C$113 + $D$113)) / $N$2</f>
        <v>286.86114336636871</v>
      </c>
      <c r="H113" s="27">
        <f>($L$2 * ($C$113 + $D$113)) / $N$2</f>
        <v>428.13885663363129</v>
      </c>
      <c r="I113" s="9">
        <f>CHITEST($C$113:$D$113,$G$113:$H$113)</f>
        <v>1.0415286958559776E-4</v>
      </c>
      <c r="J113" s="14">
        <f>SUM($C$113,$D$113)</f>
        <v>715</v>
      </c>
      <c r="K113" s="15">
        <f>($J$113/2257*100)</f>
        <v>31.679220203810367</v>
      </c>
      <c r="P113" s="15">
        <f>(($C$113 - $G$113)^2 / $G$113) + (($D$113 - $H$113)^2 / $H$113)</f>
        <v>15.059893814049502</v>
      </c>
      <c r="Q113" s="19">
        <f>SQRT($P$113 / $J$113)</f>
        <v>0.14513024685129625</v>
      </c>
      <c r="R113">
        <f t="shared" si="4"/>
        <v>0.68518716317910378</v>
      </c>
      <c r="S113">
        <f t="shared" si="5"/>
        <v>9.4816589300132439E-2</v>
      </c>
      <c r="T113">
        <f t="shared" si="6"/>
        <v>0.56898354629719528</v>
      </c>
      <c r="U113" s="34">
        <f t="shared" si="7"/>
        <v>0.8251230666346987</v>
      </c>
    </row>
    <row r="114" spans="1:21">
      <c r="A114" s="1" t="s">
        <v>216</v>
      </c>
      <c r="B114" s="30" t="s">
        <v>605</v>
      </c>
      <c r="C114">
        <v>153</v>
      </c>
      <c r="D114">
        <v>383</v>
      </c>
      <c r="E114" s="5">
        <f>($C$114/881)*100</f>
        <v>17.366628830874006</v>
      </c>
      <c r="F114" s="5">
        <f>($D$114/1376)*100</f>
        <v>27.834302325581394</v>
      </c>
      <c r="G114" s="27">
        <f>($M$2 * ($C$114 + $D$114)) / $N$2</f>
        <v>215.04555642569738</v>
      </c>
      <c r="H114" s="27">
        <f>($L$2 * ($C$114 + $D$114)) / $N$2</f>
        <v>320.95444357430262</v>
      </c>
      <c r="I114" s="9">
        <f>CHITEST($C$114:$D$114,$G$114:$H$114)</f>
        <v>4.5586514165935184E-8</v>
      </c>
      <c r="J114" s="14">
        <f>SUM($C$114,$D$114)</f>
        <v>536</v>
      </c>
      <c r="K114" s="15">
        <f>($J$114/2257*100)</f>
        <v>23.748338502436862</v>
      </c>
      <c r="P114" s="15">
        <f>(($C$114 - $G$114)^2 / $G$114) + (($D$114 - $H$114)^2 / $H$114)</f>
        <v>29.895945370937959</v>
      </c>
      <c r="Q114" s="19">
        <f>SQRT($P$114 / $J$114)</f>
        <v>0.23616946771988373</v>
      </c>
      <c r="R114">
        <f t="shared" si="4"/>
        <v>0.54489211832553863</v>
      </c>
      <c r="S114">
        <f t="shared" si="5"/>
        <v>0.10736661254274465</v>
      </c>
      <c r="T114">
        <f t="shared" si="6"/>
        <v>0.44148730547456166</v>
      </c>
      <c r="U114" s="34">
        <f t="shared" si="7"/>
        <v>0.67251632590917276</v>
      </c>
    </row>
    <row r="115" spans="1:21">
      <c r="A115" s="1" t="s">
        <v>217</v>
      </c>
      <c r="B115" s="30" t="s">
        <v>606</v>
      </c>
      <c r="C115">
        <v>148</v>
      </c>
      <c r="D115">
        <v>262</v>
      </c>
      <c r="E115" s="5">
        <f>($C$115/881)*100</f>
        <v>16.799091940976162</v>
      </c>
      <c r="F115" s="5">
        <f>($D$115/1376)*100</f>
        <v>19.040697674418606</v>
      </c>
      <c r="G115" s="27">
        <f>($M$2 * ($C$115 + $D$115)) / $N$2</f>
        <v>164.49380248980583</v>
      </c>
      <c r="H115" s="27">
        <f>($L$2 * ($C$115 + $D$115)) / $N$2</f>
        <v>245.50619751019417</v>
      </c>
      <c r="I115" s="9">
        <f>CHITEST($C$115:$D$115,$G$115:$H$115)</f>
        <v>9.6531422165907779E-2</v>
      </c>
      <c r="J115" s="14">
        <f>SUM($C$115,$D$115)</f>
        <v>410</v>
      </c>
      <c r="K115" s="15">
        <f>($J$115/2257*100)</f>
        <v>18.165706690296854</v>
      </c>
      <c r="P115" s="15">
        <f>(($C$115 - $G$115)^2 / $G$115) + (($D$115 - $H$115)^2 / $H$115)</f>
        <v>2.7619348894716707</v>
      </c>
      <c r="Q115" s="19">
        <f>SQRT($P$115 / $J$115)</f>
        <v>8.2075736729480542E-2</v>
      </c>
      <c r="R115">
        <f t="shared" si="4"/>
        <v>0.85850265040667351</v>
      </c>
      <c r="S115">
        <f t="shared" si="5"/>
        <v>0.11329374739290528</v>
      </c>
      <c r="T115">
        <f t="shared" si="6"/>
        <v>0.68754963458561946</v>
      </c>
      <c r="U115" s="34">
        <f t="shared" si="7"/>
        <v>1.0719615918339962</v>
      </c>
    </row>
    <row r="116" spans="1:21">
      <c r="A116" s="1" t="s">
        <v>218</v>
      </c>
      <c r="B116" s="30" t="s">
        <v>607</v>
      </c>
      <c r="C116">
        <v>208</v>
      </c>
      <c r="D116">
        <v>383</v>
      </c>
      <c r="E116" s="5">
        <f>($C$116/881)*100</f>
        <v>23.609534619750285</v>
      </c>
      <c r="F116" s="5">
        <f>($D$116/1376)*100</f>
        <v>27.834302325581394</v>
      </c>
      <c r="G116" s="27">
        <f>($M$2 * ($C$116 + $D$116)) / $N$2</f>
        <v>237.11179822311036</v>
      </c>
      <c r="H116" s="27">
        <f>($L$2 * ($C$116 + $D$116)) / $N$2</f>
        <v>353.88820177688962</v>
      </c>
      <c r="I116" s="9">
        <f>CHITEST($C$116:$D$116,$G$116:$H$116)</f>
        <v>1.4558999648507079E-2</v>
      </c>
      <c r="J116" s="14">
        <f>SUM($C$116,$D$116)</f>
        <v>591</v>
      </c>
      <c r="K116" s="15">
        <f>($J$116/2257*100)</f>
        <v>26.185201595037661</v>
      </c>
      <c r="P116" s="15">
        <f>(($C$116 - $G$116)^2 / $G$116) + (($D$116 - $H$116)^2 / $H$116)</f>
        <v>5.9690648550074226</v>
      </c>
      <c r="Q116" s="19">
        <f>SQRT($P$116 / $J$116)</f>
        <v>0.10049846035142769</v>
      </c>
      <c r="R116">
        <f t="shared" si="4"/>
        <v>0.80130664690660658</v>
      </c>
      <c r="S116">
        <f t="shared" si="5"/>
        <v>9.9556977714229597E-2</v>
      </c>
      <c r="T116">
        <f t="shared" si="6"/>
        <v>0.65925606667712999</v>
      </c>
      <c r="U116" s="34">
        <f t="shared" si="7"/>
        <v>0.97396501121797507</v>
      </c>
    </row>
    <row r="117" spans="1:21">
      <c r="A117" s="1" t="s">
        <v>219</v>
      </c>
      <c r="B117" s="30" t="s">
        <v>608</v>
      </c>
      <c r="C117">
        <v>84</v>
      </c>
      <c r="D117">
        <v>169</v>
      </c>
      <c r="E117" s="5">
        <f>($C$117/881)*100</f>
        <v>9.5346197502837686</v>
      </c>
      <c r="F117" s="5">
        <f>($D$117/1376)*100</f>
        <v>12.281976744186046</v>
      </c>
      <c r="G117" s="27">
        <f>($M$2 * ($C$117 + $D$117)) / $N$2</f>
        <v>101.50471226809969</v>
      </c>
      <c r="H117" s="27">
        <f>($L$2 * ($C$117 + $D$117)) / $N$2</f>
        <v>151.49528773190031</v>
      </c>
      <c r="I117" s="9">
        <f>CHITEST($C$117:$D$117,$G$117:$H$117)</f>
        <v>2.4749478276788105E-2</v>
      </c>
      <c r="J117" s="14">
        <f>SUM($C$117,$D$117)</f>
        <v>253</v>
      </c>
      <c r="K117" s="15">
        <f>($J$117/2257*100)</f>
        <v>11.209570225963668</v>
      </c>
      <c r="P117" s="15">
        <f>(($C$117 - $G$117)^2 / $G$117) + (($D$117 - $H$117)^2 / $H$117)</f>
        <v>5.041330215674078</v>
      </c>
      <c r="Q117" s="19">
        <f>SQRT($P$117 / $J$117)</f>
        <v>0.14116021530893028</v>
      </c>
      <c r="R117">
        <f t="shared" si="4"/>
        <v>0.75273399508511962</v>
      </c>
      <c r="S117">
        <f t="shared" si="5"/>
        <v>0.14108553159915729</v>
      </c>
      <c r="T117">
        <f t="shared" si="6"/>
        <v>0.57088298760768319</v>
      </c>
      <c r="U117" s="34">
        <f t="shared" si="7"/>
        <v>0.99251244065129551</v>
      </c>
    </row>
    <row r="118" spans="1:21">
      <c r="B118" s="7"/>
      <c r="I118" s="9"/>
      <c r="J118" s="14"/>
      <c r="K118" s="15"/>
      <c r="P118" s="15"/>
      <c r="Q118" s="19"/>
      <c r="U118" s="34"/>
    </row>
    <row r="119" spans="1:21">
      <c r="A119" s="2" t="s">
        <v>121</v>
      </c>
      <c r="B119" s="7"/>
      <c r="I119" s="9"/>
      <c r="J119" s="14"/>
      <c r="K119" s="15"/>
      <c r="P119" s="15"/>
      <c r="Q119" s="19"/>
      <c r="U119" s="34"/>
    </row>
    <row r="120" spans="1:21">
      <c r="A120" s="1" t="s">
        <v>220</v>
      </c>
      <c r="B120" s="30" t="s">
        <v>609</v>
      </c>
      <c r="C120">
        <v>333</v>
      </c>
      <c r="D120">
        <v>603</v>
      </c>
      <c r="E120" s="5">
        <f>($C$120/881)*100</f>
        <v>37.797956867196369</v>
      </c>
      <c r="F120" s="5">
        <f>($D$120/1376)*100</f>
        <v>43.822674418604649</v>
      </c>
      <c r="G120" s="27">
        <f>($M$2 * ($C$120 + $D$120)) / $N$2</f>
        <v>375.52731495233724</v>
      </c>
      <c r="H120" s="27">
        <f>($L$2 * ($C$120 + $D$120)) / $N$2</f>
        <v>560.47268504766282</v>
      </c>
      <c r="I120" s="9">
        <f>CHITEST($C$120:$D$120,$G$120:$H$120)</f>
        <v>4.5680886696499931E-3</v>
      </c>
      <c r="J120" s="14">
        <f>SUM($C$120,$D$120)</f>
        <v>936</v>
      </c>
      <c r="K120" s="15">
        <f>($J$120/2257*100)</f>
        <v>41.470979175897213</v>
      </c>
      <c r="P120" s="15">
        <f>(($C$120 - $G$120)^2 / $G$120) + (($D$120 - $H$120)^2 / $H$120)</f>
        <v>8.0429578344322064</v>
      </c>
      <c r="Q120" s="19">
        <f>SQRT($P$120 / $J$120)</f>
        <v>9.2697916207783101E-2</v>
      </c>
      <c r="R120">
        <f t="shared" si="4"/>
        <v>0.7789791916330755</v>
      </c>
      <c r="S120">
        <f t="shared" si="5"/>
        <v>8.8203494118750184E-2</v>
      </c>
      <c r="T120">
        <f t="shared" si="6"/>
        <v>0.65530808603026824</v>
      </c>
      <c r="U120" s="34">
        <f t="shared" si="7"/>
        <v>0.92598976562802804</v>
      </c>
    </row>
    <row r="121" spans="1:21">
      <c r="A121" s="1" t="s">
        <v>221</v>
      </c>
      <c r="B121" s="30" t="s">
        <v>610</v>
      </c>
      <c r="C121">
        <v>246</v>
      </c>
      <c r="D121">
        <v>436</v>
      </c>
      <c r="E121" s="5">
        <f>($C$121/881)*100</f>
        <v>27.922814982973893</v>
      </c>
      <c r="F121" s="5">
        <f>($D$121/1376)*100</f>
        <v>31.686046511627907</v>
      </c>
      <c r="G121" s="27">
        <f>($M$2 * ($C$121 + $D$121)) / $N$2</f>
        <v>273.62139828792095</v>
      </c>
      <c r="H121" s="27">
        <f>($L$2 * ($C$121 + $D$121)) / $N$2</f>
        <v>408.37860171207905</v>
      </c>
      <c r="I121" s="9">
        <f>CHITEST($C$121:$D$121,$G$121:$H$121)</f>
        <v>3.093560183119843E-2</v>
      </c>
      <c r="J121" s="14">
        <f>SUM($C$121,$D$121)</f>
        <v>682</v>
      </c>
      <c r="K121" s="15">
        <f>($J$121/2257*100)</f>
        <v>30.217102348249892</v>
      </c>
      <c r="P121" s="15">
        <f>(($C$121 - $G$121)^2 / $G$121) + (($D$121 - $H$121)^2 / $H$121)</f>
        <v>4.6565327250446176</v>
      </c>
      <c r="Q121" s="19">
        <f>SQRT($P$121 / $J$121)</f>
        <v>8.263026439451264E-2</v>
      </c>
      <c r="R121">
        <f t="shared" si="4"/>
        <v>0.83522357870403818</v>
      </c>
      <c r="S121">
        <f t="shared" si="5"/>
        <v>9.48538431951928E-2</v>
      </c>
      <c r="T121">
        <f t="shared" si="6"/>
        <v>0.69352404788960986</v>
      </c>
      <c r="U121" s="34">
        <f t="shared" si="7"/>
        <v>1.0058748914993922</v>
      </c>
    </row>
    <row r="122" spans="1:21">
      <c r="A122" s="1" t="s">
        <v>222</v>
      </c>
      <c r="B122" s="30" t="s">
        <v>611</v>
      </c>
      <c r="C122">
        <v>212</v>
      </c>
      <c r="D122">
        <v>355</v>
      </c>
      <c r="E122" s="5">
        <f>($C$122/881)*100</f>
        <v>24.063564131668556</v>
      </c>
      <c r="F122" s="5">
        <f>($D$122/1376)*100</f>
        <v>25.799418604651166</v>
      </c>
      <c r="G122" s="27">
        <f>($M$2 * ($C$122 + $D$122)) / $N$2</f>
        <v>227.48289271151197</v>
      </c>
      <c r="H122" s="27">
        <f>($L$2 * ($C$122 + $D$122)) / $N$2</f>
        <v>339.51710728848803</v>
      </c>
      <c r="I122" s="9">
        <f>CHITEST($C$122:$D$122,$G$122:$H$122)</f>
        <v>0.18464261426676387</v>
      </c>
      <c r="J122" s="14">
        <f>SUM($C$122,$D$122)</f>
        <v>567</v>
      </c>
      <c r="K122" s="15">
        <f>($J$122/2257*100)</f>
        <v>25.121843154630042</v>
      </c>
      <c r="P122" s="15">
        <f>(($C$122 - $G$122)^2 / $G$122) + (($D$122 - $H$122)^2 / $H$122)</f>
        <v>1.7598549069099534</v>
      </c>
      <c r="Q122" s="19">
        <f>SQRT($P$122 / $J$122)</f>
        <v>5.5711763042353951E-2</v>
      </c>
      <c r="R122">
        <f t="shared" si="4"/>
        <v>0.91139602939009245</v>
      </c>
      <c r="S122">
        <f t="shared" si="5"/>
        <v>0.10004040574147471</v>
      </c>
      <c r="T122">
        <f t="shared" si="6"/>
        <v>0.74911935774923599</v>
      </c>
      <c r="U122" s="34">
        <f t="shared" si="7"/>
        <v>1.1088256014151483</v>
      </c>
    </row>
    <row r="123" spans="1:21">
      <c r="A123" s="1" t="s">
        <v>223</v>
      </c>
      <c r="B123" s="30" t="s">
        <v>612</v>
      </c>
      <c r="C123">
        <v>217</v>
      </c>
      <c r="D123">
        <v>369</v>
      </c>
      <c r="E123" s="5">
        <f>($C$123/881)*100</f>
        <v>24.631101021566401</v>
      </c>
      <c r="F123" s="5">
        <f>($D$123/1376)*100</f>
        <v>26.816860465116278</v>
      </c>
      <c r="G123" s="27">
        <f>($M$2 * ($C$123 + $D$123)) / $N$2</f>
        <v>235.10577624152737</v>
      </c>
      <c r="H123" s="27">
        <f>($L$2 * ($C$123 + $D$123)) / $N$2</f>
        <v>350.89422375847261</v>
      </c>
      <c r="I123" s="9">
        <f>CHITEST($C$123:$D$123,$G$123:$H$123)</f>
        <v>0.12701715916006939</v>
      </c>
      <c r="J123" s="14">
        <f>SUM($C$123,$D$123)</f>
        <v>586</v>
      </c>
      <c r="K123" s="15">
        <f>($J$123/2257*100)</f>
        <v>25.963668586619406</v>
      </c>
      <c r="P123" s="15">
        <f>(($C$123 - $G$123)^2 / $G$123) + (($D$123 - $H$123)^2 / $H$123)</f>
        <v>2.3285866074088992</v>
      </c>
      <c r="Q123" s="19">
        <f>SQRT($P$123 / $J$123)</f>
        <v>6.3037268994363543E-2</v>
      </c>
      <c r="R123">
        <f t="shared" si="4"/>
        <v>0.8918560420543965</v>
      </c>
      <c r="S123">
        <f t="shared" si="5"/>
        <v>9.9082767355965731E-2</v>
      </c>
      <c r="T123">
        <f t="shared" si="6"/>
        <v>0.73443574294289371</v>
      </c>
      <c r="U123" s="34">
        <f t="shared" si="7"/>
        <v>1.0830180957175728</v>
      </c>
    </row>
    <row r="124" spans="1:21">
      <c r="A124" s="1" t="s">
        <v>224</v>
      </c>
      <c r="B124" s="30" t="s">
        <v>502</v>
      </c>
      <c r="C124">
        <v>133</v>
      </c>
      <c r="D124">
        <v>196</v>
      </c>
      <c r="E124" s="5">
        <f>($C$124/881)*100</f>
        <v>15.096481271282633</v>
      </c>
      <c r="F124" s="5">
        <f>($D$124/1376)*100</f>
        <v>14.244186046511627</v>
      </c>
      <c r="G124" s="27">
        <f>($M$2 * ($C$124 + $D$124)) / $N$2</f>
        <v>131.99624638816127</v>
      </c>
      <c r="H124" s="27">
        <f>($L$2 * ($C$124 + $D$124)) / $N$2</f>
        <v>197.00375361183873</v>
      </c>
      <c r="I124" s="9">
        <f>CHITEST($C$124:$D$124,$G$124:$H$124)</f>
        <v>0.91010713905308505</v>
      </c>
      <c r="J124" s="14">
        <f>SUM($C$124,$D$124)</f>
        <v>329</v>
      </c>
      <c r="K124" s="15">
        <f>($J$124/2257*100)</f>
        <v>14.576871953921133</v>
      </c>
      <c r="P124" s="15">
        <f>(($C$124 - $G$124)^2 / $G$124) + (($D$124 - $H$124)^2 / $H$124)</f>
        <v>1.2747178217421622E-2</v>
      </c>
      <c r="Q124" s="19">
        <f>SQRT($P$124 / $J$124)</f>
        <v>6.2245660527746414E-3</v>
      </c>
      <c r="R124">
        <f t="shared" si="4"/>
        <v>1.0704736440030558</v>
      </c>
      <c r="S124">
        <f t="shared" si="5"/>
        <v>0.12167659525006568</v>
      </c>
      <c r="T124">
        <f t="shared" si="6"/>
        <v>0.84334013713378064</v>
      </c>
      <c r="U124" s="34">
        <f t="shared" si="7"/>
        <v>1.358780131584562</v>
      </c>
    </row>
    <row r="125" spans="1:21">
      <c r="B125" s="7"/>
      <c r="I125" s="9"/>
      <c r="J125" s="14"/>
      <c r="K125" s="15"/>
      <c r="P125" s="15"/>
      <c r="Q125" s="19"/>
      <c r="U125" s="34"/>
    </row>
    <row r="126" spans="1:21">
      <c r="A126" s="2" t="s">
        <v>56</v>
      </c>
      <c r="B126" s="7"/>
      <c r="I126" s="9"/>
      <c r="J126" s="14"/>
      <c r="K126" s="15"/>
      <c r="P126" s="15"/>
      <c r="Q126" s="19"/>
      <c r="U126" s="34"/>
    </row>
    <row r="127" spans="1:21">
      <c r="A127" s="1" t="s">
        <v>225</v>
      </c>
      <c r="B127" s="30" t="s">
        <v>613</v>
      </c>
      <c r="C127">
        <v>261</v>
      </c>
      <c r="D127">
        <v>359</v>
      </c>
      <c r="E127" s="5">
        <f>($C$127/881)*100</f>
        <v>29.625425652667424</v>
      </c>
      <c r="F127" s="5">
        <f>($D$127/1376)*100</f>
        <v>26.090116279069768</v>
      </c>
      <c r="G127" s="27">
        <f>($M$2 * ($C$127 + $D$127)) / $N$2</f>
        <v>248.74672571629176</v>
      </c>
      <c r="H127" s="27">
        <f>($L$2 * ($C$127 + $D$127)) / $N$2</f>
        <v>371.25327428370827</v>
      </c>
      <c r="I127" s="9">
        <f>CHITEST($C$127:$D$127,$G$127:$H$127)</f>
        <v>0.31537810732485327</v>
      </c>
      <c r="J127" s="14">
        <f>SUM($C$127,$D$127)</f>
        <v>620</v>
      </c>
      <c r="K127" s="15">
        <f>($J$127/2257*100)</f>
        <v>27.470093043863535</v>
      </c>
      <c r="P127" s="15">
        <f>(($C$127 - $G$127)^2 / $G$127) + (($D$127 - $H$127)^2 / $H$127)</f>
        <v>1.0080181090571236</v>
      </c>
      <c r="Q127" s="19">
        <f>SQRT($P$127 / $J$127)</f>
        <v>4.0321652493040934E-2</v>
      </c>
      <c r="R127">
        <f t="shared" si="4"/>
        <v>1.192546500134783</v>
      </c>
      <c r="S127">
        <f t="shared" si="5"/>
        <v>9.5985000597940628E-2</v>
      </c>
      <c r="T127">
        <f t="shared" si="6"/>
        <v>0.98803252243853523</v>
      </c>
      <c r="U127" s="34">
        <f t="shared" si="7"/>
        <v>1.4393930591208772</v>
      </c>
    </row>
    <row r="128" spans="1:21">
      <c r="A128" s="1" t="s">
        <v>226</v>
      </c>
      <c r="B128" s="30" t="s">
        <v>614</v>
      </c>
      <c r="C128">
        <v>246</v>
      </c>
      <c r="D128">
        <v>372</v>
      </c>
      <c r="E128" s="5">
        <f>($C$128/881)*100</f>
        <v>27.922814982973893</v>
      </c>
      <c r="F128" s="5">
        <f>($D$128/1376)*100</f>
        <v>27.034883720930232</v>
      </c>
      <c r="G128" s="27">
        <f>($M$2 * ($C$128 + $D$128)) / $N$2</f>
        <v>247.94431692365856</v>
      </c>
      <c r="H128" s="27">
        <f>($L$2 * ($C$128 + $D$128)) / $N$2</f>
        <v>370.05568307634144</v>
      </c>
      <c r="I128" s="9">
        <f>CHITEST($C$128:$D$128,$G$128:$H$128)</f>
        <v>0.87321997747248425</v>
      </c>
      <c r="J128" s="14">
        <f>SUM($C$128,$D$128)</f>
        <v>618</v>
      </c>
      <c r="K128" s="15">
        <f>($J$128/2257*100)</f>
        <v>27.38147984049623</v>
      </c>
      <c r="P128" s="15">
        <f>(($C$128 - $G$128)^2 / $G$128) + (($D$128 - $H$128)^2 / $H$128)</f>
        <v>2.5462518129262215E-2</v>
      </c>
      <c r="Q128" s="19">
        <f>SQRT($P$128 / $J$128)</f>
        <v>6.4188383408569629E-3</v>
      </c>
      <c r="R128">
        <f t="shared" si="4"/>
        <v>1.0455676911353824</v>
      </c>
      <c r="S128">
        <f t="shared" si="5"/>
        <v>9.6561026192136842E-2</v>
      </c>
      <c r="T128">
        <f t="shared" si="6"/>
        <v>0.86528216033797811</v>
      </c>
      <c r="U128" s="34">
        <f t="shared" si="7"/>
        <v>1.2634165441700165</v>
      </c>
    </row>
    <row r="129" spans="1:21">
      <c r="A129" s="1" t="s">
        <v>227</v>
      </c>
      <c r="B129" s="30" t="s">
        <v>615</v>
      </c>
      <c r="C129">
        <v>180</v>
      </c>
      <c r="D129">
        <v>270</v>
      </c>
      <c r="E129" s="5">
        <f>($C$129/881)*100</f>
        <v>20.431328036322359</v>
      </c>
      <c r="F129" s="5">
        <f>($D$129/1376)*100</f>
        <v>19.622093023255811</v>
      </c>
      <c r="G129" s="27">
        <f>($M$2 * ($C$129 + $D$129)) / $N$2</f>
        <v>180.54197834246983</v>
      </c>
      <c r="H129" s="27">
        <f>($L$2 * ($C$129 + $D$129)) / $N$2</f>
        <v>269.4580216575302</v>
      </c>
      <c r="I129" s="9">
        <f>CHITEST($C$129:$D$129,$G$129:$H$129)</f>
        <v>0.95842837907032896</v>
      </c>
      <c r="J129" s="14">
        <f>SUM($C$129,$D$129)</f>
        <v>450</v>
      </c>
      <c r="K129" s="15">
        <f>($J$129/2257*100)</f>
        <v>19.937970757642891</v>
      </c>
      <c r="P129" s="15">
        <f>(($C$129 - $G$129)^2 / $G$129) + (($D$129 - $H$129)^2 / $H$129)</f>
        <v>2.7171090228574326E-3</v>
      </c>
      <c r="Q129" s="19">
        <f>SQRT($P$129 / $J$129)</f>
        <v>2.457238297519045E-3</v>
      </c>
      <c r="R129">
        <f t="shared" si="4"/>
        <v>1.0518307180218736</v>
      </c>
      <c r="S129">
        <f t="shared" si="5"/>
        <v>0.10765663897226356</v>
      </c>
      <c r="T129">
        <f t="shared" si="6"/>
        <v>0.85173926545809275</v>
      </c>
      <c r="U129" s="34">
        <f t="shared" si="7"/>
        <v>1.298927857669425</v>
      </c>
    </row>
    <row r="130" spans="1:21">
      <c r="A130" s="1" t="s">
        <v>228</v>
      </c>
      <c r="B130" s="30" t="s">
        <v>416</v>
      </c>
      <c r="C130">
        <v>358</v>
      </c>
      <c r="D130">
        <v>563</v>
      </c>
      <c r="E130" s="5">
        <f>($C$130/881)*100</f>
        <v>40.635641316685586</v>
      </c>
      <c r="F130" s="5">
        <f>($D$130/1376)*100</f>
        <v>40.915697674418603</v>
      </c>
      <c r="G130" s="27">
        <f>($M$2 * ($C$130 + $D$130)) / $N$2</f>
        <v>369.50924900758821</v>
      </c>
      <c r="H130" s="27">
        <f>($L$2 * ($C$130 + $D$130)) / $N$2</f>
        <v>551.49075099241179</v>
      </c>
      <c r="I130" s="9">
        <f>CHITEST($C$130:$D$130,$G$130:$H$130)</f>
        <v>0.4390845827374058</v>
      </c>
      <c r="J130" s="14">
        <f>SUM($C$130,$D$130)</f>
        <v>921</v>
      </c>
      <c r="K130" s="15">
        <f>($J$130/2257*100)</f>
        <v>40.806380150642447</v>
      </c>
      <c r="P130" s="15">
        <f>(($C$130 - $G$130)^2 / $G$130) + (($D$130 - $H$130)^2 / $H$130)</f>
        <v>0.59867352935273521</v>
      </c>
      <c r="Q130" s="19">
        <f>SQRT($P$130 / $J$130)</f>
        <v>2.5495598592978001E-2</v>
      </c>
      <c r="R130">
        <f t="shared" si="4"/>
        <v>0.98846998970959332</v>
      </c>
      <c r="S130">
        <f t="shared" si="5"/>
        <v>8.7815449739157253E-2</v>
      </c>
      <c r="T130">
        <f t="shared" si="6"/>
        <v>0.83217270818924871</v>
      </c>
      <c r="U130" s="34">
        <f t="shared" si="7"/>
        <v>1.1741227643508376</v>
      </c>
    </row>
    <row r="131" spans="1:21">
      <c r="A131" s="1" t="s">
        <v>229</v>
      </c>
      <c r="B131" s="30" t="s">
        <v>504</v>
      </c>
      <c r="C131">
        <v>219</v>
      </c>
      <c r="D131">
        <v>367</v>
      </c>
      <c r="E131" s="5">
        <f>($C$131/881)*100</f>
        <v>24.858115777525537</v>
      </c>
      <c r="F131" s="5">
        <f>($D$131/1376)*100</f>
        <v>26.671511627906973</v>
      </c>
      <c r="G131" s="27">
        <f>($M$2 * ($C$131 + $D$131)) / $N$2</f>
        <v>235.10577624152737</v>
      </c>
      <c r="H131" s="27">
        <f>($L$2 * ($C$131 + $D$131)) / $N$2</f>
        <v>350.89422375847261</v>
      </c>
      <c r="I131" s="9">
        <f>CHITEST($C$131:$D$131,$G$131:$H$131)</f>
        <v>0.17465130448226582</v>
      </c>
      <c r="J131" s="14">
        <f>SUM($C$131,$D$131)</f>
        <v>586</v>
      </c>
      <c r="K131" s="15">
        <f>($J$131/2257*100)</f>
        <v>25.963668586619406</v>
      </c>
      <c r="P131" s="15">
        <f>(($C$131 - $G$131)^2 / $G$131) + (($D$131 - $H$131)^2 / $H$131)</f>
        <v>1.8425590706586434</v>
      </c>
      <c r="Q131" s="19">
        <f>SQRT($P$131 / $J$131)</f>
        <v>5.6074047075186005E-2</v>
      </c>
      <c r="R131">
        <f t="shared" si="4"/>
        <v>0.90951785111584904</v>
      </c>
      <c r="S131">
        <f t="shared" si="5"/>
        <v>9.8957869730600209E-2</v>
      </c>
      <c r="T131">
        <f t="shared" si="6"/>
        <v>0.7491634623461132</v>
      </c>
      <c r="U131" s="34">
        <f t="shared" si="7"/>
        <v>1.1041952298472015</v>
      </c>
    </row>
    <row r="132" spans="1:21">
      <c r="A132" s="1" t="s">
        <v>230</v>
      </c>
      <c r="B132" s="30" t="s">
        <v>417</v>
      </c>
      <c r="C132">
        <v>107</v>
      </c>
      <c r="D132">
        <v>158</v>
      </c>
      <c r="E132" s="5">
        <f>($C$132/881)*100</f>
        <v>12.145289443813848</v>
      </c>
      <c r="F132" s="5">
        <f>($D$132/1376)*100</f>
        <v>11.482558139534884</v>
      </c>
      <c r="G132" s="27">
        <f>($M$2 * ($C$132 + $D$132)) / $N$2</f>
        <v>106.31916502389889</v>
      </c>
      <c r="H132" s="27">
        <f>($L$2 * ($C$132 + $D$132)) / $N$2</f>
        <v>158.6808349761011</v>
      </c>
      <c r="I132" s="9">
        <f>CHITEST($C$132:$D$132,$G$132:$H$132)</f>
        <v>0.93199981785063546</v>
      </c>
      <c r="J132" s="14">
        <f>SUM($C$132,$D$132)</f>
        <v>265</v>
      </c>
      <c r="K132" s="15">
        <f>($J$132/2257*100)</f>
        <v>11.74124944616748</v>
      </c>
      <c r="P132" s="15">
        <f>(($C$132 - $G$132)^2 / $G$132) + (($D$132 - $H$132)^2 / $H$132)</f>
        <v>7.281042338262135E-3</v>
      </c>
      <c r="Q132" s="19">
        <f>SQRT($P$132 / $J$132)</f>
        <v>5.2417202772696804E-3</v>
      </c>
      <c r="R132">
        <f t="shared" ref="R132:R139" si="8" xml:space="preserve"> (C132 / (881 - C132)) / (D132 / (1376 - D132))</f>
        <v>1.0656952212736728</v>
      </c>
      <c r="S132">
        <f t="shared" ref="S132:S139" si="9">SQRT(1/C132 + 1/(881 - C132) + 1/D132 + 1/(1376 - D132))</f>
        <v>0.13337134640939205</v>
      </c>
      <c r="T132">
        <f t="shared" ref="T132:T139" si="10">EXP(LN((C132 / (881 - C132)) / (D132 / (1376 - D132))) - 1.96 * S132)</f>
        <v>0.82054997457045542</v>
      </c>
      <c r="U132" s="34">
        <f t="shared" ref="U132:U139" si="11">EXP(LN((C132 / (881 - C132)) / (D132 / (1376 - D132))) + 1.96 * S132)</f>
        <v>1.3840793855853402</v>
      </c>
    </row>
    <row r="133" spans="1:21">
      <c r="A133" s="1"/>
      <c r="B133" s="7"/>
      <c r="I133" s="9"/>
      <c r="J133" s="14"/>
      <c r="K133" s="15"/>
      <c r="P133" s="15"/>
      <c r="Q133" s="19"/>
      <c r="U133" s="34"/>
    </row>
    <row r="134" spans="1:21">
      <c r="A134" s="2" t="s">
        <v>57</v>
      </c>
      <c r="B134" s="7"/>
      <c r="I134" s="9"/>
      <c r="J134" s="14"/>
      <c r="K134" s="15"/>
      <c r="P134" s="15"/>
      <c r="Q134" s="19"/>
      <c r="U134" s="34"/>
    </row>
    <row r="135" spans="1:21">
      <c r="A135" s="1" t="s">
        <v>231</v>
      </c>
      <c r="B135" s="30" t="s">
        <v>418</v>
      </c>
      <c r="C135">
        <v>161</v>
      </c>
      <c r="D135">
        <v>245</v>
      </c>
      <c r="E135" s="5">
        <f>($C$135/881)*100</f>
        <v>18.274687854710557</v>
      </c>
      <c r="F135" s="5">
        <f>($D$135/1376)*100</f>
        <v>17.805232558139537</v>
      </c>
      <c r="G135" s="27">
        <f>($M$2 * ($C$135 + $D$135)) / $N$2</f>
        <v>162.88898490453943</v>
      </c>
      <c r="H135" s="27">
        <f>($L$2 * ($C$135 + $D$135)) / $N$2</f>
        <v>243.11101509546057</v>
      </c>
      <c r="I135" s="9"/>
      <c r="J135" s="14">
        <f>SUM($C$135,$D$135)</f>
        <v>406</v>
      </c>
      <c r="K135" s="15">
        <f>($J$135/2257*100)</f>
        <v>17.98848028356225</v>
      </c>
      <c r="P135" s="15">
        <f>(($C$135 - $G$135)^2 / $G$135) + (($D$135 - $H$135)^2 / $H$135)</f>
        <v>3.6583618097563574E-2</v>
      </c>
      <c r="Q135" s="19">
        <f>SQRT($P$135 / $J$135)</f>
        <v>9.4924935468948986E-3</v>
      </c>
      <c r="R135">
        <f t="shared" si="8"/>
        <v>1.0322619047619048</v>
      </c>
      <c r="S135">
        <f t="shared" si="9"/>
        <v>0.1120976135523862</v>
      </c>
      <c r="T135">
        <f t="shared" si="10"/>
        <v>0.82864876066839266</v>
      </c>
      <c r="U135" s="34">
        <f t="shared" si="11"/>
        <v>1.2859062736824534</v>
      </c>
    </row>
    <row r="136" spans="1:21" ht="25.5">
      <c r="A136" s="4" t="s">
        <v>232</v>
      </c>
      <c r="B136" s="30" t="s">
        <v>616</v>
      </c>
      <c r="C136">
        <v>94</v>
      </c>
      <c r="D136">
        <v>155</v>
      </c>
      <c r="E136" s="5">
        <f>($C$136/881)*100</f>
        <v>10.669693530079455</v>
      </c>
      <c r="F136" s="5">
        <f>($D$136/1376)*100</f>
        <v>11.26453488372093</v>
      </c>
      <c r="G136" s="27">
        <f>($M$2 * ($C$136 + $D$136)) / $N$2</f>
        <v>99.899894682833306</v>
      </c>
      <c r="H136" s="27">
        <f>($L$2 * ($C$136 + $D$136)) / $N$2</f>
        <v>149.10010531716671</v>
      </c>
      <c r="I136" s="9">
        <f>CHITEST($C$136:$D$136,$G$136:$H$136)</f>
        <v>0.44557036264663619</v>
      </c>
      <c r="J136" s="14">
        <f>SUM($C$136,$D$136)</f>
        <v>249</v>
      </c>
      <c r="K136" s="15">
        <f>($J$136/2257*100)</f>
        <v>11.032343819229066</v>
      </c>
      <c r="P136" s="15">
        <f>(($C$136 - $G$136)^2 / $G$136) + (($D$136 - $H$136)^2 / $H$136)</f>
        <v>0.58189534773007101</v>
      </c>
      <c r="Q136" s="19">
        <f>SQRT($P$136 / $J$136)</f>
        <v>4.834179462276595E-2</v>
      </c>
      <c r="R136">
        <f t="shared" si="8"/>
        <v>0.94088617452965528</v>
      </c>
      <c r="S136">
        <f t="shared" si="9"/>
        <v>0.13849028711452152</v>
      </c>
      <c r="T136">
        <f t="shared" si="10"/>
        <v>0.71721898134417683</v>
      </c>
      <c r="U136" s="34">
        <f t="shared" si="11"/>
        <v>1.2343047471525714</v>
      </c>
    </row>
    <row r="137" spans="1:21">
      <c r="A137" s="4" t="s">
        <v>233</v>
      </c>
      <c r="B137" s="30" t="s">
        <v>617</v>
      </c>
      <c r="C137">
        <v>209</v>
      </c>
      <c r="D137">
        <v>320</v>
      </c>
      <c r="E137" s="5">
        <f>($C$137/881)*100</f>
        <v>23.723041997729851</v>
      </c>
      <c r="F137" s="5">
        <f>($D$137/1376)*100</f>
        <v>23.255813953488371</v>
      </c>
      <c r="G137" s="27">
        <f>($M$2 * ($C$137 + $D$137)) / $N$2</f>
        <v>212.23712565148119</v>
      </c>
      <c r="H137" s="27">
        <f>($L$2 * ($C$137 + $D$137)) / $N$2</f>
        <v>316.76287434851884</v>
      </c>
      <c r="I137" s="9">
        <f>CHITEST($C$137:$D$137,$G$137:$H$137)</f>
        <v>0.77399708556341806</v>
      </c>
      <c r="J137" s="14">
        <f>SUM($C$137,$D$137)</f>
        <v>529</v>
      </c>
      <c r="K137" s="15">
        <f>($J$137/2257*100)</f>
        <v>23.438192290651308</v>
      </c>
      <c r="P137" s="15">
        <f>(($C$137 - $G$137)^2 / $G$137) + (($D$137 - $H$137)^2 / $H$137)</f>
        <v>8.2455410085145578E-2</v>
      </c>
      <c r="Q137" s="19">
        <f>SQRT($P$137 / $J$137)</f>
        <v>1.2484804380750465E-2</v>
      </c>
      <c r="R137">
        <f t="shared" si="8"/>
        <v>1.0263392857142857</v>
      </c>
      <c r="S137">
        <f t="shared" si="9"/>
        <v>0.1017091634528583</v>
      </c>
      <c r="T137">
        <f t="shared" si="10"/>
        <v>0.84084193928045514</v>
      </c>
      <c r="U137" s="34">
        <f t="shared" si="11"/>
        <v>1.2527590266274378</v>
      </c>
    </row>
    <row r="138" spans="1:21">
      <c r="A138" s="1" t="s">
        <v>234</v>
      </c>
      <c r="B138" s="30" t="s">
        <v>618</v>
      </c>
      <c r="C138">
        <v>256</v>
      </c>
      <c r="D138">
        <v>427</v>
      </c>
      <c r="E138" s="5">
        <f>($C$138/881)*100</f>
        <v>29.057888762769579</v>
      </c>
      <c r="F138" s="5">
        <f>($D$138/1376)*100</f>
        <v>31.031976744186046</v>
      </c>
      <c r="G138" s="27">
        <f>($M$2 * ($C$138 + $D$138)) / $N$2</f>
        <v>274.02260268423754</v>
      </c>
      <c r="H138" s="27">
        <f>($L$2 * ($C$138 + $D$138)) / $N$2</f>
        <v>408.97739731576246</v>
      </c>
      <c r="I138" s="9">
        <f>CHITEST($C$138:$D$138,$G$138:$H$138)</f>
        <v>0.15943611547485115</v>
      </c>
      <c r="J138" s="14">
        <f>SUM($C$138,$D$138)</f>
        <v>683</v>
      </c>
      <c r="K138" s="15">
        <f>($J$138/2257*100)</f>
        <v>30.261408949933539</v>
      </c>
      <c r="P138" s="15">
        <f>(($C$138 - $G$138)^2 / $G$138) + (($D$138 - $H$138)^2 / $H$138)</f>
        <v>1.9795661875103072</v>
      </c>
      <c r="Q138" s="19">
        <f>SQRT($P$138 / $J$138)</f>
        <v>5.3836232710238033E-2</v>
      </c>
      <c r="R138">
        <f t="shared" si="8"/>
        <v>0.91032880562060892</v>
      </c>
      <c r="S138">
        <f t="shared" si="9"/>
        <v>9.434993987531437E-2</v>
      </c>
      <c r="T138">
        <f t="shared" si="10"/>
        <v>0.75663424808651558</v>
      </c>
      <c r="U138" s="34">
        <f t="shared" si="11"/>
        <v>1.0952432254267834</v>
      </c>
    </row>
    <row r="139" spans="1:21">
      <c r="A139" s="1" t="s">
        <v>235</v>
      </c>
      <c r="B139" s="30" t="s">
        <v>419</v>
      </c>
      <c r="C139">
        <v>222</v>
      </c>
      <c r="D139">
        <v>378</v>
      </c>
      <c r="E139" s="5">
        <f>($C$139/881)*100</f>
        <v>25.198637911464246</v>
      </c>
      <c r="F139" s="5">
        <f>($D$139/1376)*100</f>
        <v>27.470930232558139</v>
      </c>
      <c r="G139" s="27">
        <f>($M$2 * ($C$139 + $D$139)) / $N$2</f>
        <v>240.72263778995978</v>
      </c>
      <c r="H139" s="27">
        <f>($L$2 * ($C$139 + $D$139)) / $N$2</f>
        <v>359.27736221004022</v>
      </c>
      <c r="I139" s="9">
        <f>CHITEST($C$139:$D$139,$G$139:$H$139)</f>
        <v>0.11889176789699576</v>
      </c>
      <c r="J139" s="14">
        <f>SUM($C$139,$D$139)</f>
        <v>600</v>
      </c>
      <c r="K139" s="15">
        <f>($J$139/2257*100)</f>
        <v>26.583961010190521</v>
      </c>
      <c r="P139" s="15">
        <f>(($C$139 - $G$139)^2 / $G$139) + (($D$139 - $H$139)^2 / $H$139)</f>
        <v>2.431859802817955</v>
      </c>
      <c r="Q139" s="19">
        <f>SQRT($P$139 / $J$139)</f>
        <v>6.3663958967089526E-2</v>
      </c>
      <c r="R139">
        <f t="shared" si="8"/>
        <v>0.88941879230194865</v>
      </c>
      <c r="S139">
        <f t="shared" si="9"/>
        <v>9.8333421789725137E-2</v>
      </c>
      <c r="T139">
        <f t="shared" si="10"/>
        <v>0.73350520988774559</v>
      </c>
      <c r="U139" s="34">
        <f t="shared" si="11"/>
        <v>1.0784733052147242</v>
      </c>
    </row>
    <row r="140" spans="1:21">
      <c r="B140" s="7"/>
      <c r="I140" s="9"/>
      <c r="P140" s="5"/>
      <c r="Q140" s="8"/>
    </row>
    <row r="141" spans="1:21">
      <c r="B141" s="7"/>
      <c r="I141" s="9"/>
      <c r="P141" s="5"/>
      <c r="Q141" s="8"/>
    </row>
    <row r="142" spans="1:21">
      <c r="B142" s="7"/>
      <c r="I142" s="9"/>
      <c r="P142" s="5"/>
      <c r="Q142" s="8"/>
    </row>
    <row r="143" spans="1:21">
      <c r="I143" s="9"/>
      <c r="P143" s="5"/>
      <c r="Q143" s="8"/>
    </row>
    <row r="144" spans="1:21">
      <c r="I144" s="9"/>
      <c r="P144" s="5"/>
      <c r="Q144" s="8"/>
    </row>
    <row r="145" spans="2:21">
      <c r="I145" s="9"/>
      <c r="P145" s="5"/>
      <c r="Q145" s="8"/>
    </row>
    <row r="146" spans="2:21">
      <c r="I146" s="9"/>
      <c r="P146" s="5"/>
      <c r="Q146" s="8"/>
    </row>
    <row r="147" spans="2:21">
      <c r="I147" s="9"/>
      <c r="P147" s="5"/>
      <c r="Q147" s="8"/>
    </row>
    <row r="148" spans="2:21">
      <c r="I148" s="9"/>
      <c r="P148" s="5"/>
      <c r="Q148" s="8"/>
    </row>
    <row r="149" spans="2:21">
      <c r="I149" s="9"/>
    </row>
    <row r="150" spans="2:21">
      <c r="I150" s="9"/>
    </row>
    <row r="151" spans="2:21">
      <c r="I151" s="9"/>
    </row>
    <row r="152" spans="2:21">
      <c r="I152" s="9"/>
    </row>
    <row r="153" spans="2:21">
      <c r="I153" s="9"/>
    </row>
    <row r="154" spans="2:21">
      <c r="I154" s="9"/>
    </row>
    <row r="155" spans="2:21">
      <c r="I155" s="9"/>
    </row>
    <row r="156" spans="2:21">
      <c r="B156" s="5"/>
      <c r="I156" s="9"/>
      <c r="L156" s="5"/>
      <c r="M156" s="5"/>
      <c r="N156" s="5"/>
      <c r="O156" s="5"/>
      <c r="P156" s="5"/>
      <c r="Q156" s="8"/>
      <c r="S156" s="5"/>
      <c r="T156" s="5"/>
      <c r="U156" s="5"/>
    </row>
    <row r="157" spans="2:21">
      <c r="B157" s="5"/>
      <c r="I157" s="9"/>
      <c r="L157" s="5"/>
      <c r="M157" s="5"/>
      <c r="N157" s="5"/>
      <c r="O157" s="5"/>
      <c r="P157" s="5"/>
      <c r="Q157" s="8"/>
      <c r="S157" s="5"/>
      <c r="T157" s="5"/>
      <c r="U157" s="5"/>
    </row>
    <row r="158" spans="2:21">
      <c r="B158" s="5"/>
      <c r="L158" s="5"/>
      <c r="M158" s="5"/>
      <c r="N158" s="5"/>
      <c r="O158" s="5"/>
      <c r="P158" s="5"/>
      <c r="Q158" s="8"/>
      <c r="S158" s="5"/>
      <c r="T158" s="5"/>
      <c r="U158" s="5"/>
    </row>
    <row r="159" spans="2:21">
      <c r="B159" s="5"/>
      <c r="L159" s="5"/>
      <c r="M159" s="5"/>
      <c r="N159" s="5"/>
      <c r="O159" s="5"/>
      <c r="P159" s="5"/>
      <c r="Q159" s="8"/>
      <c r="S159" s="5"/>
      <c r="T159" s="5"/>
      <c r="U159" s="5"/>
    </row>
    <row r="160" spans="2:21">
      <c r="B160" s="5"/>
      <c r="L160" s="5"/>
      <c r="M160" s="5"/>
      <c r="N160" s="5"/>
      <c r="O160" s="5"/>
      <c r="P160" s="5"/>
      <c r="Q160" s="8"/>
      <c r="S160" s="5"/>
      <c r="T160" s="5"/>
      <c r="U160" s="5"/>
    </row>
    <row r="161" spans="2:21">
      <c r="B161" s="5"/>
      <c r="L161" s="5"/>
      <c r="M161" s="5"/>
      <c r="N161" s="5"/>
      <c r="O161" s="5"/>
      <c r="P161" s="5"/>
      <c r="Q161" s="8"/>
      <c r="S161" s="5"/>
      <c r="T161" s="5"/>
      <c r="U161" s="5"/>
    </row>
    <row r="162" spans="2:21">
      <c r="B162" s="5"/>
      <c r="L162" s="5"/>
      <c r="M162" s="5"/>
      <c r="N162" s="5"/>
      <c r="O162" s="5"/>
      <c r="P162" s="5"/>
      <c r="Q162" s="8"/>
      <c r="S162" s="5"/>
      <c r="T162" s="5"/>
      <c r="U162" s="5"/>
    </row>
    <row r="163" spans="2:21">
      <c r="B163" s="5"/>
      <c r="L163" s="5"/>
      <c r="M163" s="5"/>
      <c r="N163" s="5"/>
      <c r="O163" s="5"/>
      <c r="P163" s="5"/>
      <c r="Q163" s="8"/>
      <c r="S163" s="5"/>
      <c r="T163" s="5"/>
      <c r="U163" s="5"/>
    </row>
    <row r="164" spans="2:21">
      <c r="B164" s="5"/>
      <c r="L164" s="5"/>
      <c r="M164" s="5"/>
      <c r="N164" s="5"/>
      <c r="O164" s="5"/>
      <c r="P164" s="5"/>
      <c r="Q164" s="8"/>
      <c r="S164" s="5"/>
      <c r="T164" s="5"/>
      <c r="U164" s="5"/>
    </row>
    <row r="165" spans="2:21">
      <c r="B165" s="5"/>
      <c r="L165" s="5"/>
      <c r="M165" s="5"/>
      <c r="N165" s="5"/>
      <c r="O165" s="5"/>
      <c r="P165" s="5"/>
      <c r="Q165" s="8"/>
      <c r="S165" s="5"/>
      <c r="T165" s="5"/>
      <c r="U165" s="5"/>
    </row>
    <row r="166" spans="2:21">
      <c r="B166" s="5"/>
      <c r="L166" s="5"/>
      <c r="M166" s="5"/>
      <c r="N166" s="5"/>
      <c r="O166" s="5"/>
      <c r="P166" s="5"/>
      <c r="Q166" s="8"/>
      <c r="S166" s="5"/>
      <c r="T166" s="5"/>
      <c r="U166" s="5"/>
    </row>
    <row r="167" spans="2:21">
      <c r="B167" s="5"/>
      <c r="L167" s="5"/>
      <c r="M167" s="5"/>
      <c r="N167" s="5"/>
      <c r="O167" s="5"/>
      <c r="P167" s="5"/>
      <c r="Q167" s="8"/>
      <c r="S167" s="5"/>
      <c r="T167" s="5"/>
      <c r="U167" s="5"/>
    </row>
    <row r="168" spans="2:21">
      <c r="B168" s="5"/>
      <c r="L168" s="5"/>
      <c r="M168" s="5"/>
      <c r="N168" s="5"/>
      <c r="O168" s="5"/>
      <c r="P168" s="5"/>
      <c r="Q168" s="8"/>
      <c r="S168" s="5"/>
      <c r="T168" s="5"/>
      <c r="U168" s="5"/>
    </row>
    <row r="169" spans="2:21">
      <c r="B169" s="5"/>
      <c r="L169" s="5"/>
      <c r="M169" s="5"/>
      <c r="N169" s="5"/>
      <c r="O169" s="5"/>
      <c r="P169" s="5"/>
      <c r="Q169" s="8"/>
      <c r="S169" s="5"/>
      <c r="T169" s="5"/>
      <c r="U169" s="5"/>
    </row>
    <row r="170" spans="2:21">
      <c r="B170" s="5"/>
      <c r="L170" s="5"/>
      <c r="M170" s="5"/>
      <c r="N170" s="5"/>
      <c r="O170" s="5"/>
      <c r="P170" s="5"/>
      <c r="Q170" s="8"/>
      <c r="S170" s="5"/>
      <c r="T170" s="5"/>
      <c r="U170" s="5"/>
    </row>
    <row r="171" spans="2:21">
      <c r="B171" s="5"/>
      <c r="L171" s="5"/>
      <c r="M171" s="5"/>
      <c r="N171" s="5"/>
      <c r="O171" s="5"/>
      <c r="P171" s="5"/>
      <c r="Q171" s="8"/>
      <c r="S171" s="5"/>
      <c r="T171" s="5"/>
      <c r="U171" s="5"/>
    </row>
    <row r="172" spans="2:21">
      <c r="B172" s="5"/>
      <c r="L172" s="5"/>
      <c r="M172" s="5"/>
      <c r="N172" s="5"/>
      <c r="O172" s="5"/>
      <c r="P172" s="5"/>
      <c r="Q172" s="8"/>
      <c r="S172" s="5"/>
      <c r="T172" s="5"/>
      <c r="U172" s="5"/>
    </row>
    <row r="173" spans="2:21">
      <c r="B173" s="5"/>
      <c r="L173" s="5"/>
      <c r="M173" s="5"/>
      <c r="N173" s="5"/>
      <c r="O173" s="5"/>
      <c r="P173" s="5"/>
      <c r="Q173" s="8"/>
      <c r="S173" s="5"/>
      <c r="T173" s="5"/>
      <c r="U173" s="5"/>
    </row>
    <row r="174" spans="2:21">
      <c r="B174" s="5"/>
      <c r="I174" s="9"/>
      <c r="L174" s="5"/>
      <c r="M174" s="5"/>
      <c r="N174" s="5"/>
      <c r="O174" s="5"/>
      <c r="P174" s="5"/>
      <c r="Q174" s="8"/>
      <c r="S174" s="5"/>
      <c r="T174" s="5"/>
      <c r="U174" s="5"/>
    </row>
    <row r="175" spans="2:21">
      <c r="B175" s="5"/>
      <c r="I175" s="9"/>
      <c r="L175" s="5"/>
      <c r="M175" s="5"/>
      <c r="N175" s="5"/>
      <c r="O175" s="5"/>
      <c r="P175" s="5"/>
      <c r="Q175" s="8"/>
      <c r="S175" s="5"/>
      <c r="T175" s="5"/>
      <c r="U175" s="5"/>
    </row>
    <row r="176" spans="2:21">
      <c r="B176" s="5"/>
      <c r="I176" s="9"/>
      <c r="L176" s="5"/>
      <c r="M176" s="5"/>
      <c r="N176" s="5"/>
      <c r="O176" s="5"/>
      <c r="P176" s="5"/>
      <c r="Q176" s="8"/>
      <c r="S176" s="5"/>
      <c r="T176" s="5"/>
      <c r="U176" s="5"/>
    </row>
    <row r="177" spans="2:21">
      <c r="B177" s="5"/>
      <c r="I177" s="9"/>
      <c r="L177" s="5"/>
      <c r="M177" s="5"/>
      <c r="N177" s="5"/>
      <c r="O177" s="5"/>
      <c r="P177" s="5"/>
      <c r="Q177" s="8"/>
      <c r="S177" s="5"/>
      <c r="T177" s="5"/>
      <c r="U177" s="5"/>
    </row>
    <row r="178" spans="2:21">
      <c r="B178" s="5"/>
      <c r="I178" s="9"/>
      <c r="L178" s="5"/>
      <c r="M178" s="5"/>
      <c r="N178" s="5"/>
      <c r="O178" s="5"/>
      <c r="P178" s="5"/>
      <c r="Q178" s="8"/>
      <c r="S178" s="5"/>
      <c r="T178" s="5"/>
      <c r="U178" s="5"/>
    </row>
    <row r="179" spans="2:21">
      <c r="I179" s="9"/>
    </row>
    <row r="180" spans="2:21">
      <c r="I180" s="9"/>
    </row>
    <row r="181" spans="2:21">
      <c r="I181" s="9"/>
    </row>
    <row r="182" spans="2:21">
      <c r="I182" s="9"/>
    </row>
  </sheetData>
  <phoneticPr fontId="3" type="noConversion"/>
  <conditionalFormatting sqref="I2:I1048576">
    <cfRule type="cellIs" dxfId="5" priority="3" operator="lessThan">
      <formula>0.05</formula>
    </cfRule>
  </conditionalFormatting>
  <conditionalFormatting sqref="I1">
    <cfRule type="cellIs" dxfId="4" priority="1" operator="lessThan">
      <formula>0.05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26CA-AFE5-4E06-BADE-593D4528ECEA}">
  <sheetPr codeName="Blad3"/>
  <dimension ref="A1:U191"/>
  <sheetViews>
    <sheetView zoomScale="96" zoomScaleNormal="96" workbookViewId="0">
      <selection activeCell="R3" sqref="R3"/>
    </sheetView>
  </sheetViews>
  <sheetFormatPr defaultRowHeight="12.75"/>
  <cols>
    <col min="1" max="1" width="65.42578125" customWidth="1"/>
    <col min="2" max="2" width="71.140625" bestFit="1" customWidth="1"/>
    <col min="3" max="3" width="17.7109375" bestFit="1" customWidth="1"/>
    <col min="4" max="4" width="21" bestFit="1" customWidth="1"/>
    <col min="5" max="5" width="15.28515625" style="5" bestFit="1" customWidth="1"/>
    <col min="6" max="6" width="18.5703125" style="5" bestFit="1" customWidth="1"/>
    <col min="7" max="7" width="22" bestFit="1" customWidth="1"/>
    <col min="8" max="8" width="25.28515625" bestFit="1" customWidth="1"/>
    <col min="9" max="9" width="10.5703125" style="10" bestFit="1" customWidth="1"/>
    <col min="10" max="10" width="18.85546875" bestFit="1" customWidth="1"/>
    <col min="11" max="11" width="16.28515625" bestFit="1" customWidth="1"/>
    <col min="12" max="12" width="27.85546875" bestFit="1" customWidth="1"/>
    <col min="13" max="13" width="24.5703125" bestFit="1" customWidth="1"/>
    <col min="14" max="14" width="14.28515625" bestFit="1" customWidth="1"/>
    <col min="16" max="16" width="5.85546875" bestFit="1" customWidth="1"/>
    <col min="17" max="17" width="4.85546875" style="7" bestFit="1" customWidth="1"/>
    <col min="19" max="19" width="12" customWidth="1"/>
    <col min="20" max="21" width="16.85546875" customWidth="1"/>
  </cols>
  <sheetData>
    <row r="1" spans="1:21">
      <c r="A1" t="s">
        <v>0</v>
      </c>
      <c r="B1" s="2" t="s">
        <v>333</v>
      </c>
      <c r="C1" s="16" t="s">
        <v>321</v>
      </c>
      <c r="D1" s="16" t="s">
        <v>322</v>
      </c>
      <c r="E1" s="24" t="s">
        <v>323</v>
      </c>
      <c r="F1" s="24" t="s">
        <v>324</v>
      </c>
      <c r="G1" s="26" t="s">
        <v>325</v>
      </c>
      <c r="H1" s="26" t="s">
        <v>326</v>
      </c>
      <c r="I1" s="25" t="s">
        <v>332</v>
      </c>
      <c r="J1" s="24" t="s">
        <v>329</v>
      </c>
      <c r="K1" s="24" t="s">
        <v>327</v>
      </c>
      <c r="L1" s="16" t="s">
        <v>328</v>
      </c>
      <c r="M1" s="16" t="s">
        <v>330</v>
      </c>
      <c r="N1" s="16" t="s">
        <v>331</v>
      </c>
      <c r="O1" s="16"/>
      <c r="P1" s="16" t="s">
        <v>319</v>
      </c>
      <c r="Q1" s="16" t="s">
        <v>320</v>
      </c>
      <c r="R1" s="2" t="s">
        <v>620</v>
      </c>
      <c r="S1" s="2" t="s">
        <v>621</v>
      </c>
      <c r="T1" s="2" t="s">
        <v>623</v>
      </c>
      <c r="U1" s="2" t="s">
        <v>622</v>
      </c>
    </row>
    <row r="2" spans="1:21">
      <c r="A2" s="2" t="s">
        <v>236</v>
      </c>
      <c r="G2" s="5"/>
      <c r="H2" s="5"/>
      <c r="J2" s="14"/>
      <c r="K2" s="15"/>
      <c r="L2">
        <f>SUM($D$3:$D$148)</f>
        <v>15221</v>
      </c>
      <c r="M2">
        <f>SUM($C$3:$C$148)</f>
        <v>9122</v>
      </c>
      <c r="N2">
        <f>$L$2 + $M$2</f>
        <v>24343</v>
      </c>
      <c r="P2" s="14"/>
      <c r="Q2" s="18"/>
    </row>
    <row r="3" spans="1:21">
      <c r="A3" s="1" t="s">
        <v>241</v>
      </c>
      <c r="B3" s="30" t="s">
        <v>525</v>
      </c>
      <c r="C3">
        <v>269</v>
      </c>
      <c r="D3">
        <v>358</v>
      </c>
      <c r="E3" s="5">
        <f>($C$3/881)*100</f>
        <v>30.533484676503974</v>
      </c>
      <c r="F3" s="5">
        <f>($D$3/1376)*100</f>
        <v>26.017441860465119</v>
      </c>
      <c r="G3" s="5">
        <f>($M$2 * ($C$3 + $D$3)) / $N$2</f>
        <v>234.95436059647537</v>
      </c>
      <c r="H3" s="5">
        <f>($L$2 * ($C$3 + $D$3)) / $N$2</f>
        <v>392.0456394035246</v>
      </c>
      <c r="I3" s="9">
        <f>CHITEST($C$3:$D$3,$G$3:$H$3)</f>
        <v>4.9712165028728342E-3</v>
      </c>
      <c r="J3" s="14">
        <f>SUM($C$3,$D$3)</f>
        <v>627</v>
      </c>
      <c r="K3" s="15">
        <f>($J$3/2257*100)</f>
        <v>27.780239255649093</v>
      </c>
      <c r="P3" s="15">
        <f>(($C$3 - $G$3)^2 / $G$3) + (($D$3 - $H$3)^2 / $H$3)</f>
        <v>7.8898799185162964</v>
      </c>
      <c r="Q3" s="19">
        <f>SQRT($P$3 / $J$3)</f>
        <v>0.11217638138172581</v>
      </c>
      <c r="R3">
        <f xml:space="preserve"> (C3 / (881 - C3)) / (D3 / (1376 - D3))</f>
        <v>1.2498722021397013</v>
      </c>
      <c r="S3">
        <f>SQRT(1/C3 + 1/(881 - C3) + 1/D3 + 1/(1376 - D3))</f>
        <v>9.5535717967517267E-2</v>
      </c>
      <c r="T3">
        <f>EXP(LN((C3 / (881 - C3)) / (D3 / (1376 - D3))) - 1.96 * S3)</f>
        <v>1.0364395195945102</v>
      </c>
      <c r="U3" s="34">
        <f>EXP(LN((C3 / (881 - C3)) / (D3 / (1376 - D3))) + 1.96 * S3)</f>
        <v>1.5072568077032835</v>
      </c>
    </row>
    <row r="4" spans="1:21">
      <c r="A4" s="1" t="s">
        <v>242</v>
      </c>
      <c r="B4" s="30" t="s">
        <v>526</v>
      </c>
      <c r="C4">
        <v>221</v>
      </c>
      <c r="D4">
        <v>317</v>
      </c>
      <c r="E4" s="5">
        <f>($C$4/881)*100</f>
        <v>25.08513053348468</v>
      </c>
      <c r="F4" s="5">
        <f>($D$4/1376)*100</f>
        <v>23.037790697674417</v>
      </c>
      <c r="G4" s="5">
        <f>($M$2 * ($C$4 + $D$4)) / $N$2</f>
        <v>201.60358213860246</v>
      </c>
      <c r="H4" s="5">
        <f>($L$2 * ($C$4 + $D$4)) / $N$2</f>
        <v>336.39641786139754</v>
      </c>
      <c r="I4" s="9">
        <f>CHITEST($C$4:$D$4,$G$4:$H$4)</f>
        <v>8.406376633599856E-2</v>
      </c>
      <c r="J4" s="14">
        <f>SUM($C$4,$D$4)</f>
        <v>538</v>
      </c>
      <c r="K4" s="15">
        <f>($J$4/2257*100)</f>
        <v>23.836951705804164</v>
      </c>
      <c r="P4" s="15">
        <f>(($C$4 - $G$4)^2 / $G$4) + (($D$4 - $H$4)^2 / $H$4)</f>
        <v>2.9845285103479511</v>
      </c>
      <c r="Q4" s="19">
        <f>SQRT($P$4 / $J$4)</f>
        <v>7.4481210803319611E-2</v>
      </c>
      <c r="R4">
        <f t="shared" ref="R4:R53" si="0" xml:space="preserve"> (C4 / (881 - C4)) / (D4 / (1376 - D4))</f>
        <v>1.1186263263550329</v>
      </c>
      <c r="S4">
        <f t="shared" ref="S4:S53" si="1">SQRT(1/C4 + 1/(881 - C4) + 1/D4 + 1/(1376 - D4))</f>
        <v>0.10069210291149409</v>
      </c>
      <c r="T4">
        <f t="shared" ref="T4:T53" si="2">EXP(LN((C4 / (881 - C4)) / (D4 / (1376 - D4))) - 1.96 * S4)</f>
        <v>0.91827801696697287</v>
      </c>
      <c r="U4" s="34">
        <f t="shared" ref="U4:U53" si="3">EXP(LN((C4 / (881 - C4)) / (D4 / (1376 - D4))) + 1.96 * S4)</f>
        <v>1.3626862833410966</v>
      </c>
    </row>
    <row r="5" spans="1:21">
      <c r="A5" s="1" t="s">
        <v>243</v>
      </c>
      <c r="B5" s="30" t="s">
        <v>527</v>
      </c>
      <c r="C5">
        <v>236</v>
      </c>
      <c r="D5">
        <v>398</v>
      </c>
      <c r="E5" s="5">
        <f>($C$5/881)*100</f>
        <v>26.787741203178207</v>
      </c>
      <c r="F5" s="5">
        <f>($D$5/1376)*100</f>
        <v>28.924418604651166</v>
      </c>
      <c r="G5" s="5">
        <f>($M$2 * ($C$5 + $D$5)) / $N$2</f>
        <v>237.57745553136425</v>
      </c>
      <c r="H5" s="5">
        <f>($L$2 * ($C$5 + $D$5)) / $N$2</f>
        <v>396.42254446863575</v>
      </c>
      <c r="I5" s="9">
        <f>CHITEST($C$5:$D$5,$G$5:$H$5)</f>
        <v>0.89702094368550878</v>
      </c>
      <c r="J5" s="14">
        <f>SUM($C$5,$D$5)</f>
        <v>634</v>
      </c>
      <c r="K5" s="15">
        <f>($J$5/2257*100)</f>
        <v>28.090385467434647</v>
      </c>
      <c r="P5" s="15">
        <f>(($C$5 - $G$5)^2 / $G$5) + (($D$5 - $H$5)^2 / $H$5)</f>
        <v>1.6750969080424394E-2</v>
      </c>
      <c r="Q5" s="19">
        <f>SQRT($P$5 / $J$5)</f>
        <v>5.1401446358678472E-3</v>
      </c>
      <c r="R5">
        <f t="shared" si="0"/>
        <v>0.89910015192240267</v>
      </c>
      <c r="S5">
        <f t="shared" si="1"/>
        <v>9.6554303032481983E-2</v>
      </c>
      <c r="T5">
        <f t="shared" si="2"/>
        <v>0.74407958486633419</v>
      </c>
      <c r="U5" s="34">
        <f t="shared" si="3"/>
        <v>1.0864175010689272</v>
      </c>
    </row>
    <row r="6" spans="1:21">
      <c r="A6" s="1" t="s">
        <v>244</v>
      </c>
      <c r="B6" s="30" t="s">
        <v>528</v>
      </c>
      <c r="C6">
        <v>173</v>
      </c>
      <c r="D6">
        <v>265</v>
      </c>
      <c r="E6" s="5">
        <f>($C$6/881)*100</f>
        <v>19.636776390465378</v>
      </c>
      <c r="F6" s="5">
        <f>($D$6/1376)*100</f>
        <v>19.25872093023256</v>
      </c>
      <c r="G6" s="5">
        <f>($M$2 * ($C$6 + $D$6)) / $N$2</f>
        <v>164.13079735447562</v>
      </c>
      <c r="H6" s="5">
        <f>($L$2 * ($C$6 + $D$6)) / $N$2</f>
        <v>273.86920264552435</v>
      </c>
      <c r="I6" s="9">
        <f>CHITEST($C$6:$D$6,$G$6:$H$6)</f>
        <v>0.38130317727254948</v>
      </c>
      <c r="J6" s="14">
        <f>SUM($C$6,$D$6)</f>
        <v>438</v>
      </c>
      <c r="K6" s="15">
        <f>($J$6/2257*100)</f>
        <v>19.406291537439078</v>
      </c>
      <c r="P6" s="15">
        <f>(($C$6 - $G$6)^2 / $G$6) + (($D$6 - $H$6)^2 / $H$6)</f>
        <v>0.76649617072813192</v>
      </c>
      <c r="Q6" s="19">
        <f>SQRT($P$6 / $J$6)</f>
        <v>4.1832896832160266E-2</v>
      </c>
      <c r="R6">
        <f t="shared" si="0"/>
        <v>1.0244270333653129</v>
      </c>
      <c r="S6">
        <f t="shared" si="1"/>
        <v>0.10893324154729629</v>
      </c>
      <c r="T6">
        <f t="shared" si="2"/>
        <v>0.82747557484081313</v>
      </c>
      <c r="U6" s="34">
        <f t="shared" si="3"/>
        <v>1.2682558598681848</v>
      </c>
    </row>
    <row r="7" spans="1:21">
      <c r="A7" s="1" t="s">
        <v>245</v>
      </c>
      <c r="B7" s="30" t="s">
        <v>529</v>
      </c>
      <c r="C7">
        <v>463</v>
      </c>
      <c r="D7">
        <v>694</v>
      </c>
      <c r="E7" s="5">
        <f>($C$7/881)*100</f>
        <v>52.553916004540291</v>
      </c>
      <c r="F7" s="5">
        <f>($D$7/1376)*100</f>
        <v>50.436046511627907</v>
      </c>
      <c r="G7" s="5">
        <f>($M$2 * ($C$7 + $D$7)) / $N$2</f>
        <v>433.56011995234769</v>
      </c>
      <c r="H7" s="5">
        <f>($L$2 * ($C$7 + $D$7)) / $N$2</f>
        <v>723.43988004765231</v>
      </c>
      <c r="I7" s="9">
        <f>CHITEST($C$7:$D$7,$G$7:$H$7)</f>
        <v>7.3769821135002814E-2</v>
      </c>
      <c r="J7" s="14">
        <f>SUM($C$7,$D$7)</f>
        <v>1157</v>
      </c>
      <c r="K7" s="15">
        <f>($J$7/2257*100)</f>
        <v>51.262738147984052</v>
      </c>
      <c r="P7" s="15">
        <f>(($C$7 - $G$7)^2 / $G$7) + (($D$7 - $H$7)^2 / $H$7)</f>
        <v>3.1970811333580942</v>
      </c>
      <c r="Q7" s="19">
        <f>SQRT($P$7 / $J$7)</f>
        <v>5.2566631654407357E-2</v>
      </c>
      <c r="R7">
        <f t="shared" si="0"/>
        <v>1.0885029576823904</v>
      </c>
      <c r="S7">
        <f t="shared" si="1"/>
        <v>8.6367641865784009E-2</v>
      </c>
      <c r="T7">
        <f t="shared" si="2"/>
        <v>0.91899255380293565</v>
      </c>
      <c r="U7" s="34">
        <f t="shared" si="3"/>
        <v>1.2892799663939201</v>
      </c>
    </row>
    <row r="8" spans="1:21">
      <c r="A8" s="1" t="s">
        <v>246</v>
      </c>
      <c r="B8" s="30" t="s">
        <v>530</v>
      </c>
      <c r="C8">
        <v>65</v>
      </c>
      <c r="D8">
        <v>92</v>
      </c>
      <c r="E8" s="5">
        <f>($C$8/881)*100</f>
        <v>7.3779795686719636</v>
      </c>
      <c r="F8" s="5">
        <f>($D$8/1376)*100</f>
        <v>6.6860465116279064</v>
      </c>
      <c r="G8" s="5">
        <f>($M$2 * ($C$8 + $D$8)) / $N$2</f>
        <v>58.832272111079163</v>
      </c>
      <c r="H8" s="5">
        <f>($L$2 * ($C$8 + $D$8)) / $N$2</f>
        <v>98.167727888920837</v>
      </c>
      <c r="I8" s="9">
        <f>CHITEST($C$8:$D$8,$G$8:$H$8)</f>
        <v>0.30919587489217443</v>
      </c>
      <c r="J8" s="14">
        <f>SUM($C$8,$D$8)</f>
        <v>157</v>
      </c>
      <c r="K8" s="15">
        <f>($J$8/2257*100)</f>
        <v>6.956136464333186</v>
      </c>
      <c r="P8" s="15">
        <f>(($C$8 - $G$8)^2 / $G$8) + (($D$8 - $H$8)^2 / $H$8)</f>
        <v>1.034107533447703</v>
      </c>
      <c r="Q8" s="19">
        <f>SQRT($P$8 / $J$8)</f>
        <v>8.1158315578657658E-2</v>
      </c>
      <c r="R8">
        <f t="shared" si="0"/>
        <v>1.11173273657289</v>
      </c>
      <c r="S8">
        <f t="shared" si="1"/>
        <v>0.16810260853854134</v>
      </c>
      <c r="T8">
        <f t="shared" si="2"/>
        <v>0.79966587836157865</v>
      </c>
      <c r="U8" s="34">
        <f t="shared" si="3"/>
        <v>1.5455826127033985</v>
      </c>
    </row>
    <row r="9" spans="1:21">
      <c r="A9" s="1" t="s">
        <v>247</v>
      </c>
      <c r="B9" s="30" t="s">
        <v>531</v>
      </c>
      <c r="C9">
        <v>277</v>
      </c>
      <c r="D9">
        <v>419</v>
      </c>
      <c r="E9" s="5">
        <f>($C$9/881)*100</f>
        <v>31.441543700340524</v>
      </c>
      <c r="F9" s="5">
        <f>($D$9/1376)*100</f>
        <v>30.450581395348834</v>
      </c>
      <c r="G9" s="5">
        <f>($M$2 * ($C$9 + $D$9)) / $N$2</f>
        <v>260.81058209752291</v>
      </c>
      <c r="H9" s="5">
        <f>($L$2 * ($C$9 + $D$9)) / $N$2</f>
        <v>435.18941790247709</v>
      </c>
      <c r="I9" s="9">
        <f>CHITEST($C$9:$D$9,$G$9:$H$9)</f>
        <v>0.20488675604393528</v>
      </c>
      <c r="J9" s="14">
        <f>SUM($C$9,$D$9)</f>
        <v>696</v>
      </c>
      <c r="K9" s="15">
        <f>($J$9/2257*100)</f>
        <v>30.837394771821003</v>
      </c>
      <c r="P9" s="15">
        <f>(($C$9 - $G$9)^2 / $G$9) + (($D$9 - $H$9)^2 / $H$9)</f>
        <v>1.6071935183383319</v>
      </c>
      <c r="Q9" s="19">
        <f>SQRT($P$9 / $J$9)</f>
        <v>4.8053991400991543E-2</v>
      </c>
      <c r="R9">
        <f t="shared" si="0"/>
        <v>1.0474679542904108</v>
      </c>
      <c r="S9">
        <f t="shared" si="1"/>
        <v>9.3259339299640753E-2</v>
      </c>
      <c r="T9">
        <f t="shared" si="2"/>
        <v>0.87248263712750929</v>
      </c>
      <c r="U9" s="34">
        <f t="shared" si="3"/>
        <v>1.257548366667369</v>
      </c>
    </row>
    <row r="10" spans="1:21">
      <c r="A10" s="1" t="s">
        <v>248</v>
      </c>
      <c r="B10" s="30" t="s">
        <v>532</v>
      </c>
      <c r="C10">
        <v>114</v>
      </c>
      <c r="D10">
        <v>113</v>
      </c>
      <c r="E10" s="5">
        <f>($C$10/881)*100</f>
        <v>12.939841089670828</v>
      </c>
      <c r="F10" s="5">
        <f>($D$10/1376)*100</f>
        <v>8.2122093023255811</v>
      </c>
      <c r="G10" s="5">
        <f>($M$2 * ($C$10 + $D$10)) / $N$2</f>
        <v>85.063221459967963</v>
      </c>
      <c r="H10" s="5">
        <f>($L$2 * ($C$10 + $D$10)) / $N$2</f>
        <v>141.93677854003204</v>
      </c>
      <c r="I10" s="9">
        <f>CHITEST($C$10:$D$10,$G$10:$H$10)</f>
        <v>7.2553206923534956E-5</v>
      </c>
      <c r="J10" s="14">
        <f>SUM($C$10,$D$10)</f>
        <v>227</v>
      </c>
      <c r="K10" s="15">
        <f>($J$10/2257*100)</f>
        <v>10.057598582188747</v>
      </c>
      <c r="P10" s="15">
        <f>(($C$10 - $G$10)^2 / $G$10) + (($D$10 - $H$10)^2 / $H$10)</f>
        <v>15.743070786685559</v>
      </c>
      <c r="Q10" s="19">
        <f>SQRT($P$10 / $J$10)</f>
        <v>0.26334907393630264</v>
      </c>
      <c r="R10">
        <f t="shared" si="0"/>
        <v>1.6612477068454268</v>
      </c>
      <c r="S10">
        <f t="shared" si="1"/>
        <v>0.14041735629492014</v>
      </c>
      <c r="T10">
        <f t="shared" si="2"/>
        <v>1.2615623741745674</v>
      </c>
      <c r="U10" s="34">
        <f t="shared" si="3"/>
        <v>2.1875604409214189</v>
      </c>
    </row>
    <row r="11" spans="1:21">
      <c r="A11" s="1" t="s">
        <v>249</v>
      </c>
      <c r="B11" s="30" t="s">
        <v>533</v>
      </c>
      <c r="C11">
        <v>96</v>
      </c>
      <c r="D11">
        <v>169</v>
      </c>
      <c r="E11" s="5">
        <f>($C$11/881)*100</f>
        <v>10.896708286038592</v>
      </c>
      <c r="F11" s="5">
        <f>($D$11/1376)*100</f>
        <v>12.281976744186046</v>
      </c>
      <c r="G11" s="5">
        <f>($M$2 * ($C$11 + $D$11)) / $N$2</f>
        <v>99.302879677936161</v>
      </c>
      <c r="H11" s="5">
        <f>($L$2 * ($C$11 + $D$11)) / $N$2</f>
        <v>165.69712032206382</v>
      </c>
      <c r="I11" s="9">
        <f>CHITEST($C$11:$D$11,$G$11:$H$11)</f>
        <v>0.67510099722927497</v>
      </c>
      <c r="J11" s="14">
        <f>SUM($C$11,$D$11)</f>
        <v>265</v>
      </c>
      <c r="K11" s="15">
        <f>($J$11/2257*100)</f>
        <v>11.74124944616748</v>
      </c>
      <c r="P11" s="15">
        <f>(($C$11 - $G$11)^2 / $G$11) + (($D$11 - $H$11)^2 / $H$11)</f>
        <v>0.17569304754987147</v>
      </c>
      <c r="Q11" s="19">
        <f>SQRT($P$11 / $J$11)</f>
        <v>2.5748643309185554E-2</v>
      </c>
      <c r="R11">
        <f t="shared" si="0"/>
        <v>0.87341800776391676</v>
      </c>
      <c r="S11">
        <f t="shared" si="1"/>
        <v>0.13578001397315054</v>
      </c>
      <c r="T11">
        <f t="shared" si="2"/>
        <v>0.66933550151576671</v>
      </c>
      <c r="U11" s="34">
        <f t="shared" si="3"/>
        <v>1.1397259140725851</v>
      </c>
    </row>
    <row r="12" spans="1:21">
      <c r="A12" s="1" t="s">
        <v>250</v>
      </c>
      <c r="B12" s="30" t="s">
        <v>420</v>
      </c>
      <c r="C12">
        <v>225</v>
      </c>
      <c r="D12">
        <v>342</v>
      </c>
      <c r="E12" s="5">
        <f>($C$12/881)*100</f>
        <v>25.539160045402951</v>
      </c>
      <c r="F12" s="5">
        <f>($D$12/1376)*100</f>
        <v>24.854651162790699</v>
      </c>
      <c r="G12" s="5">
        <f>($M$2 * ($C$12 + $D$12)) / $N$2</f>
        <v>212.47068972599925</v>
      </c>
      <c r="H12" s="5">
        <f>($L$2 * ($C$12 + $D$12)) / $N$2</f>
        <v>354.52931027400075</v>
      </c>
      <c r="I12" s="9">
        <f>CHITEST($C$12:$D$12,$G$12:$H$12)</f>
        <v>0.27702180735857229</v>
      </c>
      <c r="J12" s="14">
        <f>SUM($C$12,$D$12)</f>
        <v>567</v>
      </c>
      <c r="K12" s="15">
        <f>($J$12/2257*100)</f>
        <v>25.121843154630042</v>
      </c>
      <c r="P12" s="15">
        <f>(($C$12 - $G$12)^2 / $G$12) + (($D$12 - $H$12)^2 / $H$12)</f>
        <v>1.1816428019089877</v>
      </c>
      <c r="Q12" s="19">
        <f>SQRT($P$12 / $J$12)</f>
        <v>4.5651134768585878E-2</v>
      </c>
      <c r="R12">
        <f t="shared" si="0"/>
        <v>1.0369865211810014</v>
      </c>
      <c r="S12">
        <f t="shared" si="1"/>
        <v>9.9297176621133604E-2</v>
      </c>
      <c r="T12">
        <f t="shared" si="2"/>
        <v>0.85359064808071061</v>
      </c>
      <c r="U12" s="34">
        <f t="shared" si="3"/>
        <v>1.2597854106402973</v>
      </c>
    </row>
    <row r="13" spans="1:21">
      <c r="A13" s="4" t="s">
        <v>624</v>
      </c>
      <c r="B13" s="30" t="s">
        <v>421</v>
      </c>
      <c r="C13">
        <v>131</v>
      </c>
      <c r="D13">
        <v>213</v>
      </c>
      <c r="E13" s="5">
        <f>($C$13/881)*100</f>
        <v>14.869466515323495</v>
      </c>
      <c r="F13" s="5">
        <f>($D$13/1376)*100</f>
        <v>15.479651162790697</v>
      </c>
      <c r="G13" s="5">
        <f>($M$2 * ($C$13 + $D$13)) / $N$2</f>
        <v>128.90637965739637</v>
      </c>
      <c r="H13" s="5">
        <f>($L$2 * ($C$13 + $D$13)) / $N$2</f>
        <v>215.09362034260363</v>
      </c>
      <c r="I13" s="9">
        <f>CHITEST($C$13:$D$13,$G$13:$H$13)</f>
        <v>0.81560709222918448</v>
      </c>
      <c r="J13" s="14">
        <f>SUM($C$13,$D$13)</f>
        <v>344</v>
      </c>
      <c r="K13" s="15">
        <f>($J$13/2257*100)</f>
        <v>15.241470979175897</v>
      </c>
      <c r="P13" s="15">
        <f>(($C$13 - $G$13)^2 / $G$13) + (($D$13 - $H$13)^2 / $H$13)</f>
        <v>5.4381647524597898E-2</v>
      </c>
      <c r="Q13" s="19">
        <f>SQRT($P$13 / $J$13)</f>
        <v>1.2573232864483532E-2</v>
      </c>
      <c r="R13" s="34">
        <f t="shared" si="0"/>
        <v>0.95369640062597805</v>
      </c>
      <c r="S13" s="34">
        <f t="shared" si="1"/>
        <v>0.12050560994494419</v>
      </c>
      <c r="T13" s="34">
        <f t="shared" si="2"/>
        <v>0.75306713984817331</v>
      </c>
      <c r="U13" s="34">
        <f t="shared" si="3"/>
        <v>1.2077765400178246</v>
      </c>
    </row>
    <row r="14" spans="1:21">
      <c r="B14" s="7"/>
      <c r="G14" s="5"/>
      <c r="H14" s="5"/>
      <c r="I14" s="9"/>
      <c r="J14" s="14"/>
      <c r="K14" s="15"/>
      <c r="P14" s="15"/>
      <c r="Q14" s="19"/>
      <c r="U14" s="34"/>
    </row>
    <row r="15" spans="1:21">
      <c r="A15" s="2" t="s">
        <v>237</v>
      </c>
      <c r="B15" s="7"/>
      <c r="G15" s="5"/>
      <c r="H15" s="5"/>
      <c r="I15" s="9"/>
      <c r="J15" s="14"/>
      <c r="K15" s="15"/>
      <c r="P15" s="15"/>
      <c r="Q15" s="19"/>
      <c r="U15" s="34"/>
    </row>
    <row r="16" spans="1:21">
      <c r="A16" s="13" t="s">
        <v>251</v>
      </c>
      <c r="B16" s="30" t="s">
        <v>534</v>
      </c>
      <c r="C16" s="11">
        <v>134</v>
      </c>
      <c r="D16" s="12">
        <v>222</v>
      </c>
      <c r="E16" s="5">
        <f>($C$16/881)*100</f>
        <v>15.209988649262202</v>
      </c>
      <c r="F16" s="5">
        <f>($D$16/1376)*100</f>
        <v>16.13372093023256</v>
      </c>
      <c r="G16" s="5">
        <f>($M$2 * ($C$16 + $D$16)) / $N$2</f>
        <v>133.40311383149159</v>
      </c>
      <c r="H16" s="5">
        <f>($L$2 * ($C$16 + $D$16)) / $N$2</f>
        <v>222.59688616850841</v>
      </c>
      <c r="I16" s="9">
        <f>CHITEST($C$16:$D$16,$G$16:$H$16)</f>
        <v>0.94789193100709879</v>
      </c>
      <c r="J16" s="14">
        <f>SUM($C$16,$D$16)</f>
        <v>356</v>
      </c>
      <c r="K16" s="15">
        <f>($J$16/2257*100)</f>
        <v>15.773150199379707</v>
      </c>
      <c r="P16" s="15">
        <f>(($C$16 - $G$16)^2 / $G$16) + (($D$16 - $H$16)^2 / $H$16)</f>
        <v>4.2711810081669114E-3</v>
      </c>
      <c r="Q16" s="19">
        <f>SQRT($P$16 / $J$16)</f>
        <v>3.4637695450394804E-3</v>
      </c>
      <c r="R16">
        <f t="shared" si="0"/>
        <v>0.93247464331801688</v>
      </c>
      <c r="S16">
        <f t="shared" si="1"/>
        <v>0.11904801671536232</v>
      </c>
      <c r="T16">
        <f t="shared" si="2"/>
        <v>0.73841636537396083</v>
      </c>
      <c r="U16" s="34">
        <f t="shared" si="3"/>
        <v>1.1775320824460762</v>
      </c>
    </row>
    <row r="17" spans="1:21">
      <c r="A17" s="1" t="s">
        <v>252</v>
      </c>
      <c r="B17" s="30" t="s">
        <v>422</v>
      </c>
      <c r="C17">
        <v>135</v>
      </c>
      <c r="D17">
        <v>249</v>
      </c>
      <c r="E17" s="5">
        <f>($C$17/881)*100</f>
        <v>15.32349602724177</v>
      </c>
      <c r="F17" s="5">
        <f>($D$17/1376)*100</f>
        <v>18.095930232558139</v>
      </c>
      <c r="G17" s="5">
        <f>($M$2 * ($C$17 + $D$17)) / $N$2</f>
        <v>143.89549357104713</v>
      </c>
      <c r="H17" s="5">
        <f>($L$2 * ($C$17 + $D$17)) / $N$2</f>
        <v>240.10450642895287</v>
      </c>
      <c r="I17" s="9">
        <f>CHITEST($C$17:$D$17,$G$17:$H$17)</f>
        <v>0.34834533454378586</v>
      </c>
      <c r="J17" s="14">
        <f>SUM($C$17,$D$17)</f>
        <v>384</v>
      </c>
      <c r="K17" s="15">
        <f>($J$17/2257*100)</f>
        <v>17.013735046521933</v>
      </c>
      <c r="P17" s="15">
        <f>(($C$17 - $G$17)^2 / $G$17) + (($D$17 - $H$17)^2 / $H$17)</f>
        <v>0.87947565112435699</v>
      </c>
      <c r="Q17" s="19">
        <f>SQRT($P$17 / $J$17)</f>
        <v>4.785709116529141E-2</v>
      </c>
      <c r="R17">
        <f t="shared" si="0"/>
        <v>0.819067153331826</v>
      </c>
      <c r="S17">
        <f t="shared" si="1"/>
        <v>0.11683863095945501</v>
      </c>
      <c r="T17">
        <f t="shared" si="2"/>
        <v>0.65142505675826745</v>
      </c>
      <c r="U17" s="34">
        <f t="shared" si="3"/>
        <v>1.0298513922777299</v>
      </c>
    </row>
    <row r="18" spans="1:21">
      <c r="A18" s="4" t="s">
        <v>253</v>
      </c>
      <c r="B18" s="30" t="s">
        <v>535</v>
      </c>
      <c r="C18">
        <v>132</v>
      </c>
      <c r="D18">
        <v>182</v>
      </c>
      <c r="E18" s="5">
        <f>($C$18/881)*100</f>
        <v>14.982973893303065</v>
      </c>
      <c r="F18" s="5">
        <f>($D$18/1376)*100</f>
        <v>13.226744186046513</v>
      </c>
      <c r="G18" s="5">
        <f>($M$2 * ($C$18 + $D$18)) / $N$2</f>
        <v>117.66454422215833</v>
      </c>
      <c r="H18" s="5">
        <f>($L$2 * ($C$18 + $D$18)) / $N$2</f>
        <v>196.33545577784167</v>
      </c>
      <c r="I18" s="9">
        <f>CHITEST($C$18:$D$18,$G$18:$H$18)</f>
        <v>9.4662633762519821E-2</v>
      </c>
      <c r="J18" s="14">
        <f>SUM($C$18,$D$18)</f>
        <v>314</v>
      </c>
      <c r="K18" s="15">
        <f>($J$18/2257*100)</f>
        <v>13.912272928666372</v>
      </c>
      <c r="P18" s="15">
        <f>(($C$18 - $G$18)^2 / $G$18) + (($D$18 - $H$18)^2 / $H$18)</f>
        <v>2.7932403492478572</v>
      </c>
      <c r="Q18" s="19">
        <f>SQRT($P$18 / $J$18)</f>
        <v>9.4316859055331354E-2</v>
      </c>
      <c r="R18">
        <f t="shared" si="0"/>
        <v>1.1561789345500961</v>
      </c>
      <c r="S18">
        <f t="shared" si="1"/>
        <v>0.12346212979263202</v>
      </c>
      <c r="T18">
        <f t="shared" si="2"/>
        <v>0.90767832710665997</v>
      </c>
      <c r="U18" s="34">
        <f t="shared" si="3"/>
        <v>1.4727130623008871</v>
      </c>
    </row>
    <row r="19" spans="1:21">
      <c r="A19" s="4" t="s">
        <v>254</v>
      </c>
      <c r="B19" s="30" t="s">
        <v>536</v>
      </c>
      <c r="C19">
        <v>220</v>
      </c>
      <c r="D19">
        <v>295</v>
      </c>
      <c r="E19" s="5">
        <f>($C$19/881)*100</f>
        <v>24.971623155505107</v>
      </c>
      <c r="F19" s="5">
        <f>($D$19/1376)*100</f>
        <v>21.438953488372093</v>
      </c>
      <c r="G19" s="5">
        <f>($M$2 * ($C$19 + $D$19)) / $N$2</f>
        <v>192.9848416382533</v>
      </c>
      <c r="H19" s="5">
        <f>($L$2 * ($C$19 + $D$19)) / $N$2</f>
        <v>322.01515836174673</v>
      </c>
      <c r="I19" s="9">
        <f>CHITEST($C$19:$D$19,$G$19:$H$19)</f>
        <v>1.3920853233670016E-2</v>
      </c>
      <c r="J19" s="14">
        <f>SUM($C$19,$D$19)</f>
        <v>515</v>
      </c>
      <c r="K19" s="15">
        <f>($J$19/2257*100)</f>
        <v>22.817899867080193</v>
      </c>
      <c r="P19" s="15">
        <f>(($C$19 - $G$19)^2 / $G$19) + (($D$19 - $H$19)^2 / $H$19)</f>
        <v>6.048152745080138</v>
      </c>
      <c r="Q19" s="19">
        <f>SQRT($P$19 / $J$19)</f>
        <v>0.10836967247702176</v>
      </c>
      <c r="R19">
        <f t="shared" si="0"/>
        <v>1.2196210159234853</v>
      </c>
      <c r="S19">
        <f t="shared" si="1"/>
        <v>0.1018489751456408</v>
      </c>
      <c r="T19">
        <f t="shared" si="2"/>
        <v>0.99891676363914927</v>
      </c>
      <c r="U19" s="34">
        <f t="shared" si="3"/>
        <v>1.4890884572436438</v>
      </c>
    </row>
    <row r="20" spans="1:21">
      <c r="A20" s="4" t="s">
        <v>255</v>
      </c>
      <c r="B20" s="30" t="s">
        <v>537</v>
      </c>
      <c r="C20">
        <v>42</v>
      </c>
      <c r="D20">
        <v>54</v>
      </c>
      <c r="E20" s="5">
        <f>($C$20/881)*100</f>
        <v>4.7673098751418843</v>
      </c>
      <c r="F20" s="5">
        <f>($D$20/1376)*100</f>
        <v>3.9244186046511627</v>
      </c>
      <c r="G20" s="5">
        <f>($M$2 * ($C$20 + $D$20)) / $N$2</f>
        <v>35.973873392761782</v>
      </c>
      <c r="H20" s="5">
        <f>($L$2 * ($C$20 + $D$20)) / $N$2</f>
        <v>60.026126607238218</v>
      </c>
      <c r="I20" s="9">
        <f>CHITEST($C$20:$D$20,$G$20:$H$20)</f>
        <v>0.20386967853522922</v>
      </c>
      <c r="J20" s="14">
        <f>SUM($C$20,$D$20)</f>
        <v>96</v>
      </c>
      <c r="K20" s="15">
        <f>($J$20/2257*100)</f>
        <v>4.2534337616304834</v>
      </c>
      <c r="P20" s="15">
        <f>(($C$20 - $G$20)^2 / $G$20) + (($D$20 - $H$20)^2 / $H$20)</f>
        <v>1.6144337015360941</v>
      </c>
      <c r="Q20" s="19">
        <f>SQRT($P$20 / $J$20)</f>
        <v>0.12968044464889189</v>
      </c>
      <c r="R20">
        <f t="shared" si="0"/>
        <v>1.2255330419811947</v>
      </c>
      <c r="S20">
        <f t="shared" si="1"/>
        <v>0.21041950264487064</v>
      </c>
      <c r="T20">
        <f t="shared" si="2"/>
        <v>0.81135763684847684</v>
      </c>
      <c r="U20" s="34">
        <f t="shared" si="3"/>
        <v>1.8511334198092604</v>
      </c>
    </row>
    <row r="21" spans="1:21">
      <c r="A21" s="1" t="s">
        <v>256</v>
      </c>
      <c r="B21" s="30" t="s">
        <v>538</v>
      </c>
      <c r="C21">
        <v>51</v>
      </c>
      <c r="D21">
        <v>100</v>
      </c>
      <c r="E21" s="5">
        <f>($C$21/881)*100</f>
        <v>5.7888762769580024</v>
      </c>
      <c r="F21" s="5">
        <f>($D$21/1376)*100</f>
        <v>7.2674418604651168</v>
      </c>
      <c r="G21" s="5">
        <f>($M$2 * ($C$21 + $D$21)) / $N$2</f>
        <v>56.583905024031552</v>
      </c>
      <c r="H21" s="5">
        <f>($L$2 * ($C$21 + $D$21)) / $N$2</f>
        <v>94.416094975968448</v>
      </c>
      <c r="I21" s="9">
        <f>CHITEST($C$21:$D$21,$G$21:$H$21)</f>
        <v>0.34785126603689981</v>
      </c>
      <c r="J21" s="14">
        <f>SUM($C$21,$D$21)</f>
        <v>151</v>
      </c>
      <c r="K21" s="15">
        <f>($J$21/2257*100)</f>
        <v>6.6902968542312795</v>
      </c>
      <c r="P21" s="15">
        <f>(($C$21 - $G$21)^2 / $G$21) + (($D$21 - $H$21)^2 / $H$21)</f>
        <v>0.88128026056340425</v>
      </c>
      <c r="Q21" s="19">
        <f>SQRT($P$21 / $J$21)</f>
        <v>7.6395635453302801E-2</v>
      </c>
      <c r="R21">
        <f t="shared" si="0"/>
        <v>0.78404819277108428</v>
      </c>
      <c r="S21">
        <f t="shared" si="1"/>
        <v>0.17775365389753445</v>
      </c>
      <c r="T21">
        <f t="shared" si="2"/>
        <v>0.55339571661229314</v>
      </c>
      <c r="U21" s="34">
        <f t="shared" si="3"/>
        <v>1.1108354295743166</v>
      </c>
    </row>
    <row r="22" spans="1:21">
      <c r="A22" s="1" t="s">
        <v>257</v>
      </c>
      <c r="B22" s="30" t="s">
        <v>539</v>
      </c>
      <c r="C22">
        <v>84</v>
      </c>
      <c r="D22">
        <v>117</v>
      </c>
      <c r="E22" s="5">
        <f>($C$22/881)*100</f>
        <v>9.5346197502837686</v>
      </c>
      <c r="F22" s="5">
        <f>($D$22/1376)*100</f>
        <v>8.5029069767441854</v>
      </c>
      <c r="G22" s="5">
        <f>($M$2 * ($C$22 + $D$22)) / $N$2</f>
        <v>75.320297416094974</v>
      </c>
      <c r="H22" s="5">
        <f>($L$2 * ($C$22 + $D$22)) / $N$2</f>
        <v>125.67970258390503</v>
      </c>
      <c r="I22" s="9">
        <f>CHITEST($C$22:$D$22,$G$22:$H$22)</f>
        <v>0.20595093581806817</v>
      </c>
      <c r="J22" s="14">
        <f>SUM($C$22,$D$22)</f>
        <v>201</v>
      </c>
      <c r="K22" s="15">
        <f>($J$22/2257*100)</f>
        <v>8.9056269384138247</v>
      </c>
      <c r="P22" s="15">
        <f>(($C$22 - $G$22)^2 / $G$22) + (($D$22 - $H$22)^2 / $H$22)</f>
        <v>1.5996632769713843</v>
      </c>
      <c r="Q22" s="19">
        <f>SQRT($P$22 / $J$22)</f>
        <v>8.9210558601696854E-2</v>
      </c>
      <c r="R22">
        <f t="shared" si="0"/>
        <v>1.1341247627320399</v>
      </c>
      <c r="S22">
        <f t="shared" si="1"/>
        <v>0.15000252255078139</v>
      </c>
      <c r="T22">
        <f t="shared" si="2"/>
        <v>0.84523234502019162</v>
      </c>
      <c r="U22" s="34">
        <f t="shared" si="3"/>
        <v>1.5217578752399483</v>
      </c>
    </row>
    <row r="23" spans="1:21">
      <c r="A23" s="1" t="s">
        <v>258</v>
      </c>
      <c r="B23" s="30" t="s">
        <v>540</v>
      </c>
      <c r="C23">
        <v>401</v>
      </c>
      <c r="D23">
        <v>656</v>
      </c>
      <c r="E23" s="5">
        <f>($C$23/881)*100</f>
        <v>45.516458569807043</v>
      </c>
      <c r="F23" s="5">
        <f>($D$23/1376)*100</f>
        <v>47.674418604651166</v>
      </c>
      <c r="G23" s="5">
        <f>($M$2 * ($C$23 + $D$23)) / $N$2</f>
        <v>396.08733516822082</v>
      </c>
      <c r="H23" s="5">
        <f>($L$2 * ($C$23 + $D$23)) / $N$2</f>
        <v>660.91266483177913</v>
      </c>
      <c r="I23" s="9">
        <f>CHITEST($C$23:$D$23,$G$23:$H$23)</f>
        <v>0.75491354280402079</v>
      </c>
      <c r="J23" s="14">
        <f>SUM($C$23,$D$23)</f>
        <v>1057</v>
      </c>
      <c r="K23" s="15">
        <f>($J$23/2257*100)</f>
        <v>46.832077979618965</v>
      </c>
      <c r="P23" s="15">
        <f>(($C$23 - $G$23)^2 / $G$23) + (($D$23 - $H$23)^2 / $H$23)</f>
        <v>9.7448291098306508E-2</v>
      </c>
      <c r="Q23" s="19">
        <f>SQRT($P$23 / $J$23)</f>
        <v>9.6017328880991792E-3</v>
      </c>
      <c r="R23">
        <f t="shared" si="0"/>
        <v>0.91692073170731714</v>
      </c>
      <c r="S23">
        <f t="shared" si="1"/>
        <v>8.6546970207856344E-2</v>
      </c>
      <c r="T23">
        <f t="shared" si="2"/>
        <v>0.77385844080455057</v>
      </c>
      <c r="U23" s="34">
        <f t="shared" si="3"/>
        <v>1.0864307784258234</v>
      </c>
    </row>
    <row r="24" spans="1:21">
      <c r="A24" s="1" t="s">
        <v>259</v>
      </c>
      <c r="B24" s="30" t="s">
        <v>541</v>
      </c>
      <c r="C24">
        <v>126</v>
      </c>
      <c r="D24">
        <v>132</v>
      </c>
      <c r="E24" s="5">
        <f>($C$24/881)*100</f>
        <v>14.301929625425652</v>
      </c>
      <c r="F24" s="5">
        <f>($D$24/1376)*100</f>
        <v>9.5930232558139537</v>
      </c>
      <c r="G24" s="5">
        <f>($M$2 * ($C$24 + $D$24)) / $N$2</f>
        <v>96.679784743047279</v>
      </c>
      <c r="H24" s="5">
        <f>($L$2 * ($C$24 + $D$24)) / $N$2</f>
        <v>161.32021525695271</v>
      </c>
      <c r="I24" s="9">
        <f>CHITEST($C$24:$D$24,$G$24:$H$24)</f>
        <v>1.6254804833693958E-4</v>
      </c>
      <c r="J24" s="14">
        <f>SUM($C$24,$D$24)</f>
        <v>258</v>
      </c>
      <c r="K24" s="15">
        <f>($J$24/2257*100)</f>
        <v>11.431103234381922</v>
      </c>
      <c r="P24" s="15">
        <f>(($C$24 - $G$24)^2 / $G$24) + (($D$24 - $H$24)^2 / $H$24)</f>
        <v>14.220980703580654</v>
      </c>
      <c r="Q24" s="19">
        <f>SQRT($P$24 / $J$24)</f>
        <v>0.23477666035284819</v>
      </c>
      <c r="R24">
        <f t="shared" si="0"/>
        <v>1.5727874774232391</v>
      </c>
      <c r="S24">
        <f t="shared" si="1"/>
        <v>0.13281802341709542</v>
      </c>
      <c r="T24">
        <f t="shared" si="2"/>
        <v>1.2123082445739859</v>
      </c>
      <c r="U24" s="34">
        <f t="shared" si="3"/>
        <v>2.0404550247108304</v>
      </c>
    </row>
    <row r="25" spans="1:21">
      <c r="A25" s="1" t="s">
        <v>260</v>
      </c>
      <c r="B25" s="30" t="s">
        <v>423</v>
      </c>
      <c r="C25">
        <v>77</v>
      </c>
      <c r="D25">
        <v>113</v>
      </c>
      <c r="E25" s="5">
        <f>($C$25/881)*100</f>
        <v>8.7400681044267881</v>
      </c>
      <c r="F25" s="5">
        <f>($D$25/1376)*100</f>
        <v>8.2122093023255811</v>
      </c>
      <c r="G25" s="5">
        <f>($M$2 * ($C$25 + $D$25)) / $N$2</f>
        <v>71.198291089841021</v>
      </c>
      <c r="H25" s="5">
        <f>($L$2 * ($C$25 + $D$25)) / $N$2</f>
        <v>118.80170891015898</v>
      </c>
      <c r="I25" s="9">
        <f>CHITEST($C$25:$D$25,$G$25:$H$25)</f>
        <v>0.3845550773996711</v>
      </c>
      <c r="J25" s="14">
        <f>SUM($C$25,$D$25)</f>
        <v>190</v>
      </c>
      <c r="K25" s="15">
        <f>($J$25/2257*100)</f>
        <v>8.4182543198936646</v>
      </c>
      <c r="P25" s="15">
        <f>(($C$25 - $G$25)^2 / $G$25) + (($D$25 - $H$25)^2 / $H$25)</f>
        <v>0.75608951151356174</v>
      </c>
      <c r="Q25" s="19">
        <f>SQRT($P$25 / $J$25)</f>
        <v>6.3082632171227004E-2</v>
      </c>
      <c r="R25">
        <f t="shared" si="0"/>
        <v>1.0704332320697398</v>
      </c>
      <c r="S25">
        <f t="shared" si="1"/>
        <v>0.15450604273307753</v>
      </c>
      <c r="T25">
        <f t="shared" si="2"/>
        <v>0.79075397697042293</v>
      </c>
      <c r="U25" s="34">
        <f t="shared" si="3"/>
        <v>1.4490313519626188</v>
      </c>
    </row>
    <row r="26" spans="1:21">
      <c r="A26" s="3"/>
      <c r="B26" s="7"/>
      <c r="G26" s="5"/>
      <c r="H26" s="5"/>
      <c r="I26" s="9"/>
      <c r="J26" s="14"/>
      <c r="K26" s="15"/>
      <c r="P26" s="15"/>
      <c r="Q26" s="19"/>
      <c r="U26" s="34"/>
    </row>
    <row r="27" spans="1:21">
      <c r="A27" s="3" t="s">
        <v>238</v>
      </c>
      <c r="B27" s="7"/>
      <c r="G27" s="5"/>
      <c r="H27" s="5"/>
      <c r="I27" s="9"/>
      <c r="J27" s="14"/>
      <c r="K27" s="15"/>
      <c r="P27" s="15"/>
      <c r="Q27" s="19"/>
      <c r="U27" s="34"/>
    </row>
    <row r="28" spans="1:21">
      <c r="A28" s="1" t="s">
        <v>261</v>
      </c>
      <c r="B28" s="30" t="s">
        <v>542</v>
      </c>
      <c r="C28">
        <v>139</v>
      </c>
      <c r="D28">
        <v>238</v>
      </c>
      <c r="E28" s="5">
        <f>($C$28/881)*100</f>
        <v>15.777525539160045</v>
      </c>
      <c r="F28" s="5">
        <f>($D$28/1376)*100</f>
        <v>17.296511627906977</v>
      </c>
      <c r="G28" s="5">
        <f>($M$2 * ($C$28 + $D$28)) / $N$2</f>
        <v>141.27239863615824</v>
      </c>
      <c r="H28" s="5">
        <f>($L$2 * ($C$28 + $D$28)) / $N$2</f>
        <v>235.72760136384176</v>
      </c>
      <c r="I28" s="9">
        <f>CHITEST($C$28:$D$28,$G$28:$H$28)</f>
        <v>0.80895022975157849</v>
      </c>
      <c r="J28" s="14">
        <f>SUM($C$28,$D$28)</f>
        <v>377</v>
      </c>
      <c r="K28" s="15">
        <f>($J$28/2257*100)</f>
        <v>16.703588834736376</v>
      </c>
      <c r="P28" s="15">
        <f>(($C$28 - $G$28)^2 / $G$28) + (($D$28 - $H$28)^2 / $H$28)</f>
        <v>5.8457822466720433E-2</v>
      </c>
      <c r="Q28" s="19">
        <f>SQRT($P$28 / $J$28)</f>
        <v>1.2452330586962579E-2</v>
      </c>
      <c r="R28">
        <f t="shared" si="0"/>
        <v>0.89572810256177937</v>
      </c>
      <c r="S28">
        <f t="shared" si="1"/>
        <v>0.11671490390523513</v>
      </c>
      <c r="T28">
        <f t="shared" si="2"/>
        <v>0.71256825090996234</v>
      </c>
      <c r="U28" s="34">
        <f t="shared" si="3"/>
        <v>1.125967698805465</v>
      </c>
    </row>
    <row r="29" spans="1:21">
      <c r="A29" s="1" t="s">
        <v>262</v>
      </c>
      <c r="B29" s="30" t="s">
        <v>518</v>
      </c>
      <c r="C29">
        <v>418</v>
      </c>
      <c r="D29">
        <v>716</v>
      </c>
      <c r="E29" s="5">
        <f>($C$29/881)*100</f>
        <v>47.446083995459702</v>
      </c>
      <c r="F29" s="5">
        <f>($D$29/1376)*100</f>
        <v>52.034883720930239</v>
      </c>
      <c r="G29" s="5">
        <f>($M$2 * ($C$29 + $D$29)) / $N$2</f>
        <v>424.9413794519985</v>
      </c>
      <c r="H29" s="5">
        <f>($L$2 * ($C$29 + $D$29)) / $N$2</f>
        <v>709.0586205480015</v>
      </c>
      <c r="I29" s="9">
        <f>CHITEST($C$29:$D$29,$G$29:$H$29)</f>
        <v>0.67022423943250597</v>
      </c>
      <c r="J29" s="14">
        <f>SUM($C$29,$D$29)</f>
        <v>1134</v>
      </c>
      <c r="K29" s="15">
        <f>($J$29/2257*100)</f>
        <v>50.243686309260084</v>
      </c>
      <c r="P29" s="15">
        <f>(($C$29 - $G$29)^2 / $G$29) + (($D$29 - $H$29)^2 / $H$29)</f>
        <v>0.18133993739362214</v>
      </c>
      <c r="Q29" s="19">
        <f>SQRT($P$29 / $J$29)</f>
        <v>1.2645622221545177E-2</v>
      </c>
      <c r="R29">
        <f t="shared" si="0"/>
        <v>0.83219711138192731</v>
      </c>
      <c r="S29">
        <f t="shared" si="1"/>
        <v>8.6394278000772734E-2</v>
      </c>
      <c r="T29">
        <f t="shared" si="2"/>
        <v>0.70256402833993392</v>
      </c>
      <c r="U29" s="34">
        <f t="shared" si="3"/>
        <v>0.98574934704361827</v>
      </c>
    </row>
    <row r="30" spans="1:21">
      <c r="A30" s="1" t="s">
        <v>263</v>
      </c>
      <c r="B30" s="30" t="s">
        <v>519</v>
      </c>
      <c r="C30">
        <v>161</v>
      </c>
      <c r="D30">
        <v>270</v>
      </c>
      <c r="E30" s="5">
        <f>($C$30/881)*100</f>
        <v>18.274687854710557</v>
      </c>
      <c r="F30" s="5">
        <f>($D$30/1376)*100</f>
        <v>19.622093023255811</v>
      </c>
      <c r="G30" s="5">
        <f>($M$2 * ($C$30 + $D$30)) / $N$2</f>
        <v>161.50770241958674</v>
      </c>
      <c r="H30" s="5">
        <f>($L$2 * ($C$30 + $D$30)) / $N$2</f>
        <v>269.49229758041326</v>
      </c>
      <c r="I30" s="9">
        <f>CHITEST($C$30:$D$30,$G$30:$H$30)</f>
        <v>0.9597066467644555</v>
      </c>
      <c r="J30" s="14">
        <f>SUM($C$30,$D$30)</f>
        <v>431</v>
      </c>
      <c r="K30" s="15">
        <f>($J$30/2257*100)</f>
        <v>19.09614532565352</v>
      </c>
      <c r="P30" s="15">
        <f>(($C$30 - $G$30)^2 / $G$30) + (($D$30 - $H$30)^2 / $H$30)</f>
        <v>2.5524435175006753E-3</v>
      </c>
      <c r="Q30" s="19">
        <f>SQRT($P$30 / $J$30)</f>
        <v>2.4335453010001945E-3</v>
      </c>
      <c r="R30">
        <f t="shared" si="0"/>
        <v>0.91597736625514403</v>
      </c>
      <c r="S30">
        <f t="shared" si="1"/>
        <v>0.11048951013025367</v>
      </c>
      <c r="T30">
        <f t="shared" si="2"/>
        <v>0.73762252881859902</v>
      </c>
      <c r="U30" s="34">
        <f t="shared" si="3"/>
        <v>1.137457849661268</v>
      </c>
    </row>
    <row r="31" spans="1:21">
      <c r="A31" s="1" t="s">
        <v>264</v>
      </c>
      <c r="B31" s="30" t="s">
        <v>543</v>
      </c>
      <c r="C31">
        <v>183</v>
      </c>
      <c r="D31">
        <v>280</v>
      </c>
      <c r="E31" s="5">
        <f>($C$31/881)*100</f>
        <v>20.771850170261068</v>
      </c>
      <c r="F31" s="5">
        <f>($D$31/1376)*100</f>
        <v>20.348837209302324</v>
      </c>
      <c r="G31" s="5">
        <f>($M$2 * ($C$31 + $D$31)) / $N$2</f>
        <v>173.49899355050732</v>
      </c>
      <c r="H31" s="5">
        <f>($L$2 * ($C$31 + $D$31)) / $N$2</f>
        <v>289.50100644949265</v>
      </c>
      <c r="I31" s="9">
        <f>CHITEST($C$31:$D$31,$G$31:$H$31)</f>
        <v>0.36166728924206587</v>
      </c>
      <c r="J31" s="14">
        <f>SUM($C$31,$D$31)</f>
        <v>463</v>
      </c>
      <c r="K31" s="15">
        <f>($J$31/2257*100)</f>
        <v>20.513956579530351</v>
      </c>
      <c r="P31" s="15">
        <f>(($C$31 - $G$31)^2 / $G$31) + (($D$31 - $H$31)^2 / $H$31)</f>
        <v>0.83209551102468282</v>
      </c>
      <c r="Q31" s="19">
        <f>SQRT($P$31 / $J$31)</f>
        <v>4.2393189656016426E-2</v>
      </c>
      <c r="R31">
        <f t="shared" si="0"/>
        <v>1.0262382316823575</v>
      </c>
      <c r="S31">
        <f t="shared" si="1"/>
        <v>0.10668168990654671</v>
      </c>
      <c r="T31">
        <f t="shared" si="2"/>
        <v>0.83260478448486208</v>
      </c>
      <c r="U31" s="34">
        <f t="shared" si="3"/>
        <v>1.2649037427981296</v>
      </c>
    </row>
    <row r="32" spans="1:21">
      <c r="A32" s="1" t="s">
        <v>265</v>
      </c>
      <c r="B32" s="30" t="s">
        <v>424</v>
      </c>
      <c r="C32">
        <v>142</v>
      </c>
      <c r="D32">
        <v>274</v>
      </c>
      <c r="E32" s="5">
        <f>($C$32/881)*100</f>
        <v>16.118047673098751</v>
      </c>
      <c r="F32" s="5">
        <f>($D$32/1376)*100</f>
        <v>19.912790697674417</v>
      </c>
      <c r="G32" s="5">
        <f>($M$2 * ($C$32 + $D$32)) / $N$2</f>
        <v>155.88678470196771</v>
      </c>
      <c r="H32" s="5">
        <f>($L$2 * ($C$32 + $D$32)) / $N$2</f>
        <v>260.11321529803229</v>
      </c>
      <c r="I32" s="9">
        <f>CHITEST($C$32:$D$32,$G$32:$H$32)</f>
        <v>0.15955382050915701</v>
      </c>
      <c r="J32" s="14">
        <f>SUM($C$32,$D$32)</f>
        <v>416</v>
      </c>
      <c r="K32" s="15">
        <f>($J$32/2257*100)</f>
        <v>18.431546300398761</v>
      </c>
      <c r="P32" s="15">
        <f>(($C$32 - $G$32)^2 / $G$32) + (($D$32 - $H$32)^2 / $H$32)</f>
        <v>1.9784497232014462</v>
      </c>
      <c r="Q32" s="19">
        <f>SQRT($P$32 / $J$32)</f>
        <v>6.8962952066278199E-2</v>
      </c>
      <c r="R32">
        <f t="shared" si="0"/>
        <v>0.7728139229378822</v>
      </c>
      <c r="S32">
        <f t="shared" si="1"/>
        <v>0.11380909254929261</v>
      </c>
      <c r="T32">
        <f t="shared" si="2"/>
        <v>0.61829919682811008</v>
      </c>
      <c r="U32" s="34">
        <f t="shared" si="3"/>
        <v>0.96594231813740283</v>
      </c>
    </row>
    <row r="33" spans="1:21" ht="25.5">
      <c r="A33" s="4" t="s">
        <v>266</v>
      </c>
      <c r="B33" s="30" t="s">
        <v>544</v>
      </c>
      <c r="C33">
        <v>238</v>
      </c>
      <c r="D33">
        <v>411</v>
      </c>
      <c r="E33" s="5">
        <f>($C$33/881)*100</f>
        <v>27.014755959137343</v>
      </c>
      <c r="F33" s="5">
        <f>($D$33/1376)*100</f>
        <v>29.869186046511626</v>
      </c>
      <c r="G33" s="5">
        <f>($M$2 * ($C$33 + $D$33)) / $N$2</f>
        <v>243.19837324898327</v>
      </c>
      <c r="H33" s="5">
        <f>($L$2 * ($C$33 + $D$33)) / $N$2</f>
        <v>405.80162675101673</v>
      </c>
      <c r="I33" s="9">
        <f>CHITEST($C$33:$D$33,$G$33:$H$33)</f>
        <v>0.67335103578833522</v>
      </c>
      <c r="J33" s="14">
        <f>SUM($C$33,$D$33)</f>
        <v>649</v>
      </c>
      <c r="K33" s="15">
        <f>($J$33/2257*100)</f>
        <v>28.754984492689413</v>
      </c>
      <c r="P33" s="15">
        <f>(($C$33 - $G$33)^2 / $G$33) + (($D$33 - $H$33)^2 / $H$33)</f>
        <v>0.17770725796433756</v>
      </c>
      <c r="Q33" s="19">
        <f>SQRT($P$33 / $J$33)</f>
        <v>1.6547417879108857E-2</v>
      </c>
      <c r="R33">
        <f t="shared" si="0"/>
        <v>0.86906343061909463</v>
      </c>
      <c r="S33">
        <f t="shared" si="1"/>
        <v>9.6053370997562199E-2</v>
      </c>
      <c r="T33">
        <f t="shared" si="2"/>
        <v>0.71992821676585683</v>
      </c>
      <c r="U33" s="34">
        <f t="shared" si="3"/>
        <v>1.0490924356769138</v>
      </c>
    </row>
    <row r="34" spans="1:21">
      <c r="A34" s="3"/>
      <c r="B34" s="7"/>
      <c r="G34" s="5"/>
      <c r="H34" s="5"/>
      <c r="I34" s="9"/>
      <c r="J34" s="14">
        <f>SUM($C$34,$D$34)</f>
        <v>0</v>
      </c>
      <c r="K34" s="15">
        <f>($J$34/2257*100)</f>
        <v>0</v>
      </c>
      <c r="P34" s="15"/>
      <c r="Q34" s="19"/>
      <c r="U34" s="34"/>
    </row>
    <row r="35" spans="1:21">
      <c r="A35" s="2" t="s">
        <v>239</v>
      </c>
      <c r="B35" s="7"/>
      <c r="G35" s="5"/>
      <c r="H35" s="5"/>
      <c r="I35" s="9"/>
      <c r="J35" s="14">
        <f>SUM($C$35,$D$35)</f>
        <v>0</v>
      </c>
      <c r="K35" s="15">
        <f>($J$35/2257*100)</f>
        <v>0</v>
      </c>
      <c r="P35" s="15"/>
      <c r="Q35" s="19"/>
      <c r="U35" s="34"/>
    </row>
    <row r="36" spans="1:21">
      <c r="A36" s="1" t="s">
        <v>267</v>
      </c>
      <c r="B36" s="30" t="s">
        <v>425</v>
      </c>
      <c r="C36">
        <v>467</v>
      </c>
      <c r="D36">
        <v>936</v>
      </c>
      <c r="E36" s="5">
        <f>($C$36/881)*100</f>
        <v>53.007945516458562</v>
      </c>
      <c r="F36" s="5">
        <f>($D$36/1376)*100</f>
        <v>68.023255813953483</v>
      </c>
      <c r="G36" s="5">
        <f>($M$2 * ($C$36 + $D$36)) / $N$2</f>
        <v>525.7431705212997</v>
      </c>
      <c r="H36" s="5">
        <f>($L$2 * ($C$36 + $D$36)) / $N$2</f>
        <v>877.2568294787003</v>
      </c>
      <c r="I36" s="33">
        <f>CHITEST($C$36:$D$36,$G$36:$H$36)</f>
        <v>1.1955781952540366E-3</v>
      </c>
      <c r="J36" s="14">
        <f>SUM($C$36,$D$36)</f>
        <v>1403</v>
      </c>
      <c r="K36" s="15">
        <f>($J$36/2257*100)</f>
        <v>62.162162162162161</v>
      </c>
      <c r="P36" s="15">
        <f>(($C$36 - $G$36)^2 / $G$36) + (($D$36 - $H$36)^2 / $H$36)</f>
        <v>10.497165367195874</v>
      </c>
      <c r="Q36" s="19">
        <f>SQRT($P$36 / $J$36)</f>
        <v>8.6498222688640061E-2</v>
      </c>
      <c r="R36">
        <f t="shared" si="0"/>
        <v>0.5302654940336099</v>
      </c>
      <c r="S36">
        <f t="shared" si="1"/>
        <v>8.8870073148545045E-2</v>
      </c>
      <c r="T36">
        <f t="shared" si="2"/>
        <v>0.44549787184197026</v>
      </c>
      <c r="U36" s="34">
        <f t="shared" si="3"/>
        <v>0.63116237345899329</v>
      </c>
    </row>
    <row r="37" spans="1:21">
      <c r="A37" s="1" t="s">
        <v>268</v>
      </c>
      <c r="B37" s="30" t="s">
        <v>545</v>
      </c>
      <c r="C37">
        <v>187</v>
      </c>
      <c r="D37">
        <v>254</v>
      </c>
      <c r="E37" s="5">
        <f>($C$37/881)*100</f>
        <v>21.22587968217934</v>
      </c>
      <c r="F37" s="5">
        <f>($D$37/1376)*100</f>
        <v>18.459302325581394</v>
      </c>
      <c r="G37" s="5">
        <f>($M$2 * ($C$37 + $D$37)) / $N$2</f>
        <v>165.25498089799942</v>
      </c>
      <c r="H37" s="5">
        <f>($L$2 * ($C$37 + $D$37)) / $N$2</f>
        <v>275.74501910200058</v>
      </c>
      <c r="I37" s="9">
        <f>CHITEST($C$37:$D$37,$G$37:$H$37)</f>
        <v>3.2420837545459491E-2</v>
      </c>
      <c r="J37" s="14">
        <f>SUM($C$37,$D$37)</f>
        <v>441</v>
      </c>
      <c r="K37" s="15">
        <f>($J$37/2257*100)</f>
        <v>19.539211342490031</v>
      </c>
      <c r="P37" s="15">
        <f>(($C$37 - $G$37)^2 / $G$37) + (($D$37 - $H$37)^2 / $H$37)</f>
        <v>4.5761045885640659</v>
      </c>
      <c r="Q37" s="19">
        <f>SQRT($P$37 / $J$37)</f>
        <v>0.10186586472335511</v>
      </c>
      <c r="R37">
        <f t="shared" si="0"/>
        <v>1.1902584583267151</v>
      </c>
      <c r="S37">
        <f t="shared" si="1"/>
        <v>0.10778121007046232</v>
      </c>
      <c r="T37">
        <f t="shared" si="2"/>
        <v>0.96359837336286147</v>
      </c>
      <c r="U37" s="34">
        <f t="shared" si="3"/>
        <v>1.4702341107883929</v>
      </c>
    </row>
    <row r="38" spans="1:21">
      <c r="A38" s="1" t="s">
        <v>269</v>
      </c>
      <c r="B38" s="30" t="s">
        <v>426</v>
      </c>
      <c r="C38">
        <v>92</v>
      </c>
      <c r="D38">
        <v>77</v>
      </c>
      <c r="E38" s="5">
        <f>($C$38/881)*100</f>
        <v>10.442678774120317</v>
      </c>
      <c r="F38" s="5">
        <f>($D$38/1376)*100</f>
        <v>5.5959302325581399</v>
      </c>
      <c r="G38" s="5">
        <f>($M$2 * ($C$38 + $D$38)) / $N$2</f>
        <v>63.32900628517438</v>
      </c>
      <c r="H38" s="5">
        <f>($L$2 * ($C$38 + $D$38)) / $N$2</f>
        <v>105.67099371482561</v>
      </c>
      <c r="I38" s="9">
        <f>CHITEST($C$38:$D$38,$G$38:$H$38)</f>
        <v>5.207672088720757E-6</v>
      </c>
      <c r="J38" s="14">
        <f>SUM($C$38,$D$38)</f>
        <v>169</v>
      </c>
      <c r="K38" s="15">
        <f>($J$38/2257*100)</f>
        <v>7.4878156845369954</v>
      </c>
      <c r="P38" s="15">
        <f>(($C$38 - $G$38)^2 / $G$38) + (($D$38 - $H$38)^2 / $H$38)</f>
        <v>20.759349026363271</v>
      </c>
      <c r="Q38" s="19">
        <f>SQRT($P$38 / $J$38)</f>
        <v>0.35048022022844644</v>
      </c>
      <c r="R38">
        <f t="shared" si="0"/>
        <v>1.9671127351735718</v>
      </c>
      <c r="S38">
        <f t="shared" si="1"/>
        <v>0.16091559361375876</v>
      </c>
      <c r="T38">
        <f t="shared" si="2"/>
        <v>1.4350106740368342</v>
      </c>
      <c r="U38" s="34">
        <f t="shared" si="3"/>
        <v>2.6965182788478179</v>
      </c>
    </row>
    <row r="39" spans="1:21" ht="25.5">
      <c r="A39" s="4" t="s">
        <v>270</v>
      </c>
      <c r="B39" s="30" t="s">
        <v>546</v>
      </c>
      <c r="C39">
        <v>340</v>
      </c>
      <c r="D39">
        <v>577</v>
      </c>
      <c r="E39" s="5">
        <f>($C$39/881)*100</f>
        <v>38.592508513053346</v>
      </c>
      <c r="F39" s="5">
        <f>($D$39/1376)*100</f>
        <v>41.933139534883722</v>
      </c>
      <c r="G39" s="5">
        <f>($M$2 * ($C$39 + $D$39)) / $N$2</f>
        <v>343.62543647044328</v>
      </c>
      <c r="H39" s="5">
        <f>($L$2 * ($C$39 + $D$39)) / $N$2</f>
        <v>573.37456352955678</v>
      </c>
      <c r="I39" s="9">
        <f>CHITEST($C$39:$D$39,$G$39:$H$39)</f>
        <v>0.80465006405472339</v>
      </c>
      <c r="J39" s="14">
        <f>SUM($C$39,$D$39)</f>
        <v>917</v>
      </c>
      <c r="K39" s="15">
        <f>($J$39/2257*100)</f>
        <v>40.629153743907843</v>
      </c>
      <c r="P39" s="15">
        <f>(($C$39 - $G$39)^2 / $G$39) + (($D$39 - $H$39)^2 / $H$39)</f>
        <v>6.1173905401873292E-2</v>
      </c>
      <c r="Q39" s="19">
        <f>SQRT($P$39 / $J$39)</f>
        <v>8.1676747619025269E-3</v>
      </c>
      <c r="R39">
        <f t="shared" si="0"/>
        <v>0.87026720528452028</v>
      </c>
      <c r="S39">
        <f t="shared" si="1"/>
        <v>8.8171832320080884E-2</v>
      </c>
      <c r="T39">
        <f t="shared" si="2"/>
        <v>0.7321486050032896</v>
      </c>
      <c r="U39" s="34">
        <f t="shared" si="3"/>
        <v>1.0344416467068547</v>
      </c>
    </row>
    <row r="40" spans="1:21">
      <c r="A40" s="1" t="s">
        <v>271</v>
      </c>
      <c r="B40" s="30" t="s">
        <v>547</v>
      </c>
      <c r="C40">
        <v>301</v>
      </c>
      <c r="D40">
        <v>648</v>
      </c>
      <c r="E40" s="5">
        <f>($C$40/881)*100</f>
        <v>34.165720771850175</v>
      </c>
      <c r="F40" s="5">
        <f>($D$40/1376)*100</f>
        <v>47.093023255813954</v>
      </c>
      <c r="G40" s="5">
        <f>($M$2 * ($C$40 + $D$40)) / $N$2</f>
        <v>355.61672760136383</v>
      </c>
      <c r="H40" s="5">
        <f>($L$2 * ($C$40 + $D$40)) / $N$2</f>
        <v>593.38327239863611</v>
      </c>
      <c r="I40" s="9">
        <f>CHITEST($C$40:$D$40,$G$40:$H$40)</f>
        <v>2.4958150301558114E-4</v>
      </c>
      <c r="J40" s="14">
        <f>SUM($C$40,$D$40)</f>
        <v>949</v>
      </c>
      <c r="K40" s="15">
        <f>($J$40/2257*100)</f>
        <v>42.04696499778467</v>
      </c>
      <c r="P40" s="15">
        <f>(($C$40 - $G$40)^2 / $G$40) + (($D$40 - $H$40)^2 / $H$40)</f>
        <v>13.415290544830782</v>
      </c>
      <c r="Q40" s="19">
        <f>SQRT($P$40 / $J$40)</f>
        <v>0.11889591548714631</v>
      </c>
      <c r="R40">
        <f t="shared" si="0"/>
        <v>0.5830353341847595</v>
      </c>
      <c r="S40">
        <f t="shared" si="1"/>
        <v>8.9236950404060142E-2</v>
      </c>
      <c r="T40">
        <f t="shared" si="2"/>
        <v>0.4894798855231397</v>
      </c>
      <c r="U40" s="34">
        <f t="shared" si="3"/>
        <v>0.69447225710741556</v>
      </c>
    </row>
    <row r="41" spans="1:21">
      <c r="A41" s="1" t="s">
        <v>272</v>
      </c>
      <c r="B41" s="30" t="s">
        <v>548</v>
      </c>
      <c r="C41">
        <v>264</v>
      </c>
      <c r="D41">
        <v>531</v>
      </c>
      <c r="E41" s="5">
        <f>($C$41/881)*100</f>
        <v>29.965947786606129</v>
      </c>
      <c r="F41" s="5">
        <f>($D$41/1376)*100</f>
        <v>38.590116279069768</v>
      </c>
      <c r="G41" s="5">
        <f>($M$2 * ($C$41 + $D$41)) / $N$2</f>
        <v>297.90863903380847</v>
      </c>
      <c r="H41" s="5">
        <f>($L$2 * ($C$41 + $D$41)) / $N$2</f>
        <v>497.09136096619153</v>
      </c>
      <c r="I41" s="9">
        <f>CHITEST($C$41:$D$41,$G$41:$H$41)</f>
        <v>1.2974337663354055E-2</v>
      </c>
      <c r="J41" s="14">
        <f>SUM($C$41,$D$41)</f>
        <v>795</v>
      </c>
      <c r="K41" s="15">
        <f>($J$41/2257*100)</f>
        <v>35.223748338502439</v>
      </c>
      <c r="P41" s="15">
        <f>(($C$41 - $G$41)^2 / $G$41) + (($D$41 - $H$41)^2 / $H$41)</f>
        <v>6.17260567785672</v>
      </c>
      <c r="Q41" s="19">
        <f>SQRT($P$41 / $J$41)</f>
        <v>8.8115173900514362E-2</v>
      </c>
      <c r="R41">
        <f t="shared" si="0"/>
        <v>0.68089626312849683</v>
      </c>
      <c r="S41">
        <f t="shared" si="1"/>
        <v>9.2061367874185049E-2</v>
      </c>
      <c r="T41">
        <f t="shared" si="2"/>
        <v>0.56848201869435844</v>
      </c>
      <c r="U41" s="34">
        <f t="shared" si="3"/>
        <v>0.81553981638179851</v>
      </c>
    </row>
    <row r="42" spans="1:21">
      <c r="A42" s="1" t="s">
        <v>273</v>
      </c>
      <c r="B42" s="30" t="s">
        <v>549</v>
      </c>
      <c r="C42">
        <v>56</v>
      </c>
      <c r="D42">
        <v>40</v>
      </c>
      <c r="E42" s="5">
        <f>($C$42/881)*100</f>
        <v>6.3564131668558455</v>
      </c>
      <c r="F42" s="5">
        <f>($D$42/1376)*100</f>
        <v>2.9069767441860463</v>
      </c>
      <c r="G42" s="5">
        <f>($M$2 * ($C$42 + $D$42)) / $N$2</f>
        <v>35.973873392761782</v>
      </c>
      <c r="H42" s="5">
        <f>($L$2 * ($C$42 + $D$42)) / $N$2</f>
        <v>60.026126607238218</v>
      </c>
      <c r="I42" s="9">
        <f>CHITEST($C$42:$D$42,$G$42:$H$42)</f>
        <v>2.4161620987016906E-5</v>
      </c>
      <c r="J42" s="14">
        <f>SUM($C$42,$D$42)</f>
        <v>96</v>
      </c>
      <c r="K42" s="15">
        <f>($J$42/2257*100)</f>
        <v>4.2534337616304834</v>
      </c>
      <c r="P42" s="15">
        <f>(($C$42 - $G$42)^2 / $G$42) + (($D$42 - $H$42)^2 / $H$42)</f>
        <v>17.829436859436115</v>
      </c>
      <c r="Q42" s="19">
        <f>SQRT($P$42 / $J$42)</f>
        <v>0.43095626300023326</v>
      </c>
      <c r="R42">
        <f t="shared" si="0"/>
        <v>2.2671515151515154</v>
      </c>
      <c r="S42">
        <f t="shared" si="1"/>
        <v>0.21170207146666289</v>
      </c>
      <c r="T42">
        <f t="shared" si="2"/>
        <v>1.497187194892921</v>
      </c>
      <c r="U42" s="34">
        <f t="shared" si="3"/>
        <v>3.4330884008271414</v>
      </c>
    </row>
    <row r="43" spans="1:21">
      <c r="A43" s="22" t="s">
        <v>276</v>
      </c>
      <c r="B43" s="30" t="s">
        <v>550</v>
      </c>
      <c r="C43" s="23">
        <v>164</v>
      </c>
      <c r="D43" s="23">
        <v>175</v>
      </c>
      <c r="E43" s="5">
        <f>($C$43/881)*100</f>
        <v>18.615209988649262</v>
      </c>
      <c r="F43" s="5">
        <f>($D$43/1376)*100</f>
        <v>12.718023255813954</v>
      </c>
      <c r="G43" s="5">
        <f>($M$2 * ($C$43 + $D$43)) / $N$2</f>
        <v>127.03274041819003</v>
      </c>
      <c r="H43" s="5">
        <f>($L$2 * ($C$43 + $D$43)) / $N$2</f>
        <v>211.96725958180997</v>
      </c>
      <c r="I43" s="9">
        <f>CHITEST($C$43:$D$43,$G$43:$H$43)</f>
        <v>3.3558643968853163E-5</v>
      </c>
      <c r="J43" s="14">
        <f>SUM($C$43,$D$43)</f>
        <v>339</v>
      </c>
      <c r="K43" s="15">
        <f>($J$43/2257*100)</f>
        <v>15.019937970757644</v>
      </c>
      <c r="P43" s="15">
        <f>(($C$43 - $G$43)^2 / $G$43) + (($D$43 - $H$43)^2 / $H$43)</f>
        <v>17.204805223356715</v>
      </c>
      <c r="Q43" s="19">
        <f>SQRT($P$43 / $J$43)</f>
        <v>0.22528124162257929</v>
      </c>
      <c r="R43">
        <f t="shared" si="0"/>
        <v>1.5697469615461248</v>
      </c>
      <c r="S43">
        <f t="shared" si="1"/>
        <v>0.11848707227573912</v>
      </c>
      <c r="T43">
        <f t="shared" si="2"/>
        <v>1.2444327128180339</v>
      </c>
      <c r="U43" s="34">
        <f t="shared" si="3"/>
        <v>1.9801034623264544</v>
      </c>
    </row>
    <row r="44" spans="1:21">
      <c r="A44" s="1" t="s">
        <v>275</v>
      </c>
      <c r="B44" s="30" t="s">
        <v>551</v>
      </c>
      <c r="C44">
        <v>58</v>
      </c>
      <c r="D44">
        <v>18</v>
      </c>
      <c r="E44" s="5">
        <f>($C$44/881)*100</f>
        <v>6.583427922814983</v>
      </c>
      <c r="F44" s="5">
        <f>($D$44/1376)*100</f>
        <v>1.308139534883721</v>
      </c>
      <c r="G44" s="5">
        <f>($M$2 * ($C$44 + $D$44)) / $N$2</f>
        <v>28.479316435936408</v>
      </c>
      <c r="H44" s="5">
        <f>($L$2 * ($C$44 + $D$44)) / $N$2</f>
        <v>47.520683564063589</v>
      </c>
      <c r="I44" s="9">
        <f>CHITEST($C$44:$D$44,$G$44:$H$44)</f>
        <v>2.6406188623897118E-12</v>
      </c>
      <c r="J44" s="14">
        <f>SUM($C$44,$D$44)</f>
        <v>76</v>
      </c>
      <c r="K44" s="15">
        <f>($J$44/2257*100)</f>
        <v>3.3673017279574653</v>
      </c>
      <c r="P44" s="15">
        <f>(($C$44 - $G$44)^2 / $G$44) + (($D$44 - $H$44)^2 / $H$44)</f>
        <v>48.938896351991332</v>
      </c>
      <c r="Q44" s="19">
        <f>SQRT($P$44 / $J$44)</f>
        <v>0.80245426457632341</v>
      </c>
      <c r="R44">
        <f t="shared" si="0"/>
        <v>5.3168624274335095</v>
      </c>
      <c r="S44">
        <f t="shared" si="1"/>
        <v>0.27340149728853491</v>
      </c>
      <c r="T44">
        <f t="shared" si="2"/>
        <v>3.1112246456143233</v>
      </c>
      <c r="U44" s="34">
        <f t="shared" si="3"/>
        <v>9.0861410834164715</v>
      </c>
    </row>
    <row r="45" spans="1:21">
      <c r="A45" s="1" t="s">
        <v>274</v>
      </c>
      <c r="B45" s="30" t="s">
        <v>552</v>
      </c>
      <c r="C45">
        <v>146</v>
      </c>
      <c r="D45">
        <v>322</v>
      </c>
      <c r="E45" s="5">
        <f>($C$45/881)*100</f>
        <v>16.572077185017026</v>
      </c>
      <c r="F45" s="5">
        <f>($D$45/1376)*100</f>
        <v>23.401162790697676</v>
      </c>
      <c r="G45" s="5">
        <f>($M$2 * ($C$45 + $D$45)) / $N$2</f>
        <v>175.37263278971366</v>
      </c>
      <c r="H45" s="5">
        <f>($L$2 * ($C$45 + $D$45)) / $N$2</f>
        <v>292.62736721028631</v>
      </c>
      <c r="I45" s="9">
        <f>CHITEST($C$45:$D$45,$G$45:$H$45)</f>
        <v>5.032206902839959E-3</v>
      </c>
      <c r="J45" s="14">
        <f>SUM($C$45,$D$45)</f>
        <v>468</v>
      </c>
      <c r="K45" s="15">
        <f>($J$45/2257*100)</f>
        <v>20.735489587948607</v>
      </c>
      <c r="P45" s="15">
        <f>(($C$45 - $G$45)^2 / $G$45) + (($D$45 - $H$45)^2 / $H$45)</f>
        <v>7.8678277428292711</v>
      </c>
      <c r="Q45" s="19">
        <f>SQRT($P$45 / $J$45)</f>
        <v>0.1296595455070246</v>
      </c>
      <c r="R45">
        <f t="shared" si="0"/>
        <v>0.65020492669117347</v>
      </c>
      <c r="S45">
        <f t="shared" si="1"/>
        <v>0.11074392060834574</v>
      </c>
      <c r="T45">
        <f t="shared" si="2"/>
        <v>0.52333903297092299</v>
      </c>
      <c r="U45" s="34">
        <f t="shared" si="3"/>
        <v>0.80782517652751384</v>
      </c>
    </row>
    <row r="46" spans="1:21">
      <c r="A46" s="1"/>
      <c r="B46" s="7"/>
      <c r="G46" s="5"/>
      <c r="H46" s="5"/>
      <c r="I46" s="9"/>
      <c r="J46" s="14"/>
      <c r="K46" s="15"/>
      <c r="P46" s="15"/>
      <c r="Q46" s="19"/>
      <c r="U46" s="34"/>
    </row>
    <row r="47" spans="1:21">
      <c r="A47" s="2" t="s">
        <v>240</v>
      </c>
      <c r="B47" s="7"/>
      <c r="G47" s="5"/>
      <c r="H47" s="5"/>
      <c r="I47" s="9"/>
      <c r="J47" s="14"/>
      <c r="K47" s="15"/>
      <c r="P47" s="15"/>
      <c r="Q47" s="19"/>
      <c r="U47" s="34"/>
    </row>
    <row r="48" spans="1:21">
      <c r="A48" s="1" t="s">
        <v>277</v>
      </c>
      <c r="B48" s="30" t="s">
        <v>427</v>
      </c>
      <c r="C48">
        <v>396</v>
      </c>
      <c r="D48">
        <v>742</v>
      </c>
      <c r="E48" s="5">
        <f>($C$48/881)*100</f>
        <v>44.948921679909191</v>
      </c>
      <c r="F48" s="5">
        <f>($D$48/1376)*100</f>
        <v>53.924418604651159</v>
      </c>
      <c r="G48" s="5">
        <f>($M$2 * ($C$48 + $D$48)) / $N$2</f>
        <v>426.44029084336358</v>
      </c>
      <c r="H48" s="5">
        <f>($L$2 * ($C$48 + $D$48)) / $N$2</f>
        <v>711.55970915663636</v>
      </c>
      <c r="I48" s="9">
        <f>CHITEST($C$48:$D$48,$G$48:$H$48)</f>
        <v>6.2298061362678681E-2</v>
      </c>
      <c r="J48" s="14">
        <f>SUM($C$48,$D$48)</f>
        <v>1138</v>
      </c>
      <c r="K48" s="15">
        <f>($J$48/2257*100)</f>
        <v>50.420912715994682</v>
      </c>
      <c r="P48" s="15">
        <f>(($C$48 - $G$48)^2 / $G$48) + (($D$48 - $H$48)^2 / $H$48)</f>
        <v>3.4751237734622125</v>
      </c>
      <c r="Q48" s="19">
        <f>SQRT($P$48 / $J$48)</f>
        <v>5.526039789919486E-2</v>
      </c>
      <c r="R48">
        <f t="shared" si="0"/>
        <v>0.69765192986356184</v>
      </c>
      <c r="S48">
        <f t="shared" si="1"/>
        <v>8.6672395585217221E-2</v>
      </c>
      <c r="T48">
        <f t="shared" si="2"/>
        <v>0.58865626073677313</v>
      </c>
      <c r="U48" s="34">
        <f t="shared" si="3"/>
        <v>0.82682925113744077</v>
      </c>
    </row>
    <row r="49" spans="1:21">
      <c r="A49" s="1" t="s">
        <v>278</v>
      </c>
      <c r="B49" s="30" t="s">
        <v>521</v>
      </c>
      <c r="C49">
        <v>409</v>
      </c>
      <c r="D49">
        <v>714</v>
      </c>
      <c r="E49" s="5">
        <f>($C$49/881)*100</f>
        <v>46.424517593643586</v>
      </c>
      <c r="F49" s="5">
        <f>($D$49/1376)*100</f>
        <v>51.889534883720934</v>
      </c>
      <c r="G49" s="5">
        <f>($M$2 * ($C$49 + $D$49)) / $N$2</f>
        <v>420.81937312574456</v>
      </c>
      <c r="H49" s="5">
        <f>($L$2 * ($C$49 + $D$49)) / $N$2</f>
        <v>702.18062687425538</v>
      </c>
      <c r="I49" s="9">
        <f>CHITEST($C$49:$D$49,$G$49:$H$49)</f>
        <v>0.46622290130768324</v>
      </c>
      <c r="J49" s="14">
        <f>SUM($C$49,$D$49)</f>
        <v>1123</v>
      </c>
      <c r="K49" s="15">
        <f>($J$49/2257*100)</f>
        <v>49.756313690739923</v>
      </c>
      <c r="P49" s="15">
        <f>(($C$49 - $G$49)^2 / $G$49) + (($D$49 - $H$49)^2 / $H$49)</f>
        <v>0.53091387358080988</v>
      </c>
      <c r="Q49" s="19">
        <f>SQRT($P$49 / $J$49)</f>
        <v>2.1743134832872463E-2</v>
      </c>
      <c r="R49">
        <f t="shared" si="0"/>
        <v>0.80341712956368994</v>
      </c>
      <c r="S49">
        <f t="shared" si="1"/>
        <v>8.6456729553426079E-2</v>
      </c>
      <c r="T49">
        <f t="shared" si="2"/>
        <v>0.67818414618912437</v>
      </c>
      <c r="U49" s="34">
        <f t="shared" si="3"/>
        <v>0.95177554312270085</v>
      </c>
    </row>
    <row r="50" spans="1:21">
      <c r="A50" s="4" t="s">
        <v>279</v>
      </c>
      <c r="B50" s="30" t="s">
        <v>522</v>
      </c>
      <c r="C50">
        <v>348</v>
      </c>
      <c r="D50">
        <v>695</v>
      </c>
      <c r="E50" s="5">
        <f>($C$50/881)*100</f>
        <v>39.500567536889896</v>
      </c>
      <c r="F50" s="5">
        <f>($D$50/1376)*100</f>
        <v>50.508720930232556</v>
      </c>
      <c r="G50" s="5">
        <f>($M$2 * ($C$50 + $D$50)) / $N$2</f>
        <v>390.84114529844311</v>
      </c>
      <c r="H50" s="5">
        <f>($L$2 * ($C$50 + $D$50)) / $N$2</f>
        <v>652.15885470155695</v>
      </c>
      <c r="I50" s="9">
        <f>CHITEST($C$50:$D$50,$G$50:$H$50)</f>
        <v>6.134980592642233E-3</v>
      </c>
      <c r="J50" s="14">
        <f>SUM($C$50,$D$50)</f>
        <v>1043</v>
      </c>
      <c r="K50" s="15">
        <f>($J$50/2257*100)</f>
        <v>46.21178555604785</v>
      </c>
      <c r="P50" s="15">
        <f>(($C$50 - $G$50)^2 / $G$50) + (($D$50 - $H$50)^2 / $H$50)</f>
        <v>7.5102221075032212</v>
      </c>
      <c r="Q50" s="19">
        <f>SQRT($P$50 / $J$50)</f>
        <v>8.4856328342290607E-2</v>
      </c>
      <c r="R50">
        <f t="shared" si="0"/>
        <v>0.63975596258452905</v>
      </c>
      <c r="S50">
        <f t="shared" si="1"/>
        <v>8.7504362910303793E-2</v>
      </c>
      <c r="T50">
        <f t="shared" si="2"/>
        <v>0.53892598580886786</v>
      </c>
      <c r="U50" s="34">
        <f t="shared" si="3"/>
        <v>0.75945065266831036</v>
      </c>
    </row>
    <row r="51" spans="1:21">
      <c r="A51" s="4" t="s">
        <v>280</v>
      </c>
      <c r="B51" s="30" t="s">
        <v>523</v>
      </c>
      <c r="C51">
        <v>302</v>
      </c>
      <c r="D51">
        <v>560</v>
      </c>
      <c r="E51" s="5">
        <f>($C$51/881)*100</f>
        <v>34.279228149829741</v>
      </c>
      <c r="F51" s="5">
        <f>($D$51/1376)*100</f>
        <v>40.697674418604649</v>
      </c>
      <c r="G51" s="5">
        <f>($M$2 * ($C$51 + $D$51)) / $N$2</f>
        <v>323.01540483917347</v>
      </c>
      <c r="H51" s="5">
        <f>($L$2 * ($C$51 + $D$51)) / $N$2</f>
        <v>538.98459516082653</v>
      </c>
      <c r="I51" s="9">
        <f>CHITEST($C$51:$D$51,$G$51:$H$51)</f>
        <v>0.13921001831347693</v>
      </c>
      <c r="J51" s="14">
        <f>SUM($C$51,$D$51)</f>
        <v>862</v>
      </c>
      <c r="K51" s="15">
        <f>($J$51/2257*100)</f>
        <v>38.19229065130704</v>
      </c>
      <c r="P51" s="15">
        <f>(($C$51 - $G$51)^2 / $G$51) + (($D$51 - $H$51)^2 / $H$51)</f>
        <v>2.1866697637111931</v>
      </c>
      <c r="Q51" s="19">
        <f>SQRT($P$51 / $J$51)</f>
        <v>5.0366058661505286E-2</v>
      </c>
      <c r="R51">
        <f t="shared" si="0"/>
        <v>0.76002960769800143</v>
      </c>
      <c r="S51">
        <f t="shared" si="1"/>
        <v>8.9719443136320423E-2</v>
      </c>
      <c r="T51">
        <f t="shared" si="2"/>
        <v>0.63747004103393556</v>
      </c>
      <c r="U51" s="34">
        <f t="shared" si="3"/>
        <v>0.90615239524146851</v>
      </c>
    </row>
    <row r="52" spans="1:21">
      <c r="A52" s="1" t="s">
        <v>281</v>
      </c>
      <c r="B52" s="30" t="s">
        <v>524</v>
      </c>
      <c r="C52">
        <v>442</v>
      </c>
      <c r="D52">
        <v>872</v>
      </c>
      <c r="E52" s="5">
        <f>($C$52/881)*100</f>
        <v>50.17026106696936</v>
      </c>
      <c r="F52" s="5">
        <f>($D$52/1376)*100</f>
        <v>63.372093023255815</v>
      </c>
      <c r="G52" s="5">
        <f>($M$2 * ($C$52 + $D$52)) / $N$2</f>
        <v>492.39239206342688</v>
      </c>
      <c r="H52" s="5">
        <f>($L$2 * ($C$52 + $D$52)) / $N$2</f>
        <v>821.60760793657312</v>
      </c>
      <c r="I52" s="9">
        <f>CHITEST($C$52:$D$52,$G$52:$H$52)</f>
        <v>4.0796552677702163E-3</v>
      </c>
      <c r="J52" s="14">
        <f>SUM($C$52,$D$52)</f>
        <v>1314</v>
      </c>
      <c r="K52" s="15">
        <f>($J$52/2257*100)</f>
        <v>58.218874612317236</v>
      </c>
      <c r="P52" s="15">
        <f>(($C$52 - $G$52)^2 / $G$52) + (($D$52 - $H$52)^2 / $H$52)</f>
        <v>8.2480166239387742</v>
      </c>
      <c r="Q52" s="19">
        <f>SQRT($P$52 / $J$52)</f>
        <v>7.9227705975684667E-2</v>
      </c>
      <c r="R52">
        <f t="shared" si="0"/>
        <v>0.58193141209170141</v>
      </c>
      <c r="S52">
        <f t="shared" si="1"/>
        <v>8.7585750792494338E-2</v>
      </c>
      <c r="T52">
        <f t="shared" si="2"/>
        <v>0.49013679254018272</v>
      </c>
      <c r="U52" s="34">
        <f t="shared" si="3"/>
        <v>0.69091766529907805</v>
      </c>
    </row>
    <row r="53" spans="1:21">
      <c r="A53" s="1" t="s">
        <v>282</v>
      </c>
      <c r="B53" s="30" t="s">
        <v>428</v>
      </c>
      <c r="C53">
        <v>197</v>
      </c>
      <c r="D53">
        <v>371</v>
      </c>
      <c r="E53" s="5">
        <f>($C$53/881)*100</f>
        <v>22.360953461975029</v>
      </c>
      <c r="F53" s="5">
        <f>($D$53/1376)*100</f>
        <v>26.962209302325579</v>
      </c>
      <c r="G53" s="5">
        <f>($M$2 * ($C$53 + $D$53)) / $N$2</f>
        <v>212.84541757384054</v>
      </c>
      <c r="H53" s="5">
        <f>($L$2 * ($C$53 + $D$53)) / $N$2</f>
        <v>355.15458242615949</v>
      </c>
      <c r="I53" s="9">
        <f>CHITEST($C$53:$D$53,$G$53:$H$53)</f>
        <v>0.16958877782553233</v>
      </c>
      <c r="J53" s="14">
        <f>SUM($C$53,$D$53)</f>
        <v>568</v>
      </c>
      <c r="K53" s="15">
        <f>($J$53/2257*100)</f>
        <v>25.16614975631369</v>
      </c>
      <c r="P53" s="15">
        <f>(($C$53 - $G$53)^2 / $G$53) + (($D$53 - $H$53)^2 / $H$53)</f>
        <v>1.8865746124141687</v>
      </c>
      <c r="Q53" s="19">
        <f>SQRT($P$53 / $J$53)</f>
        <v>5.7631885070553682E-2</v>
      </c>
      <c r="R53">
        <f t="shared" si="0"/>
        <v>0.78019340804842296</v>
      </c>
      <c r="S53">
        <f t="shared" si="1"/>
        <v>0.10113640838715089</v>
      </c>
      <c r="T53">
        <f t="shared" si="2"/>
        <v>0.63990164672019378</v>
      </c>
      <c r="U53" s="34">
        <f t="shared" si="3"/>
        <v>0.95124267468618751</v>
      </c>
    </row>
    <row r="54" spans="1:21">
      <c r="A54" s="1"/>
      <c r="B54" s="7"/>
      <c r="G54" s="5"/>
      <c r="H54" s="5"/>
      <c r="I54" s="9"/>
    </row>
    <row r="55" spans="1:21">
      <c r="A55" s="1"/>
      <c r="B55" s="7"/>
      <c r="G55" s="5"/>
      <c r="H55" s="5"/>
      <c r="I55" s="9"/>
    </row>
    <row r="56" spans="1:21">
      <c r="A56" s="1"/>
      <c r="B56" s="7"/>
      <c r="G56" s="5"/>
      <c r="H56" s="5"/>
      <c r="I56" s="9"/>
    </row>
    <row r="57" spans="1:21">
      <c r="A57" s="1"/>
      <c r="B57" s="7"/>
      <c r="G57" s="5"/>
      <c r="H57" s="5"/>
      <c r="I57" s="9"/>
    </row>
    <row r="58" spans="1:21">
      <c r="B58" s="7"/>
      <c r="G58" s="5"/>
      <c r="H58" s="5"/>
      <c r="I58" s="9"/>
    </row>
    <row r="59" spans="1:21">
      <c r="A59" s="2"/>
      <c r="B59" s="7"/>
      <c r="G59" s="5"/>
      <c r="H59" s="5"/>
      <c r="I59" s="9"/>
    </row>
    <row r="60" spans="1:21">
      <c r="A60" s="1"/>
      <c r="B60" s="7"/>
      <c r="G60" s="5"/>
      <c r="H60" s="5"/>
      <c r="I60" s="9"/>
    </row>
    <row r="61" spans="1:21">
      <c r="A61" s="1"/>
      <c r="B61" s="7"/>
      <c r="G61" s="5"/>
      <c r="H61" s="5"/>
      <c r="I61" s="9"/>
    </row>
    <row r="62" spans="1:21">
      <c r="A62" s="1"/>
      <c r="B62" s="7"/>
      <c r="G62" s="5"/>
      <c r="H62" s="5"/>
      <c r="I62" s="9"/>
    </row>
    <row r="63" spans="1:21">
      <c r="A63" s="1"/>
      <c r="B63" s="7"/>
      <c r="G63" s="5"/>
      <c r="H63" s="5"/>
      <c r="I63" s="9"/>
    </row>
    <row r="64" spans="1:21">
      <c r="A64" s="4"/>
      <c r="B64" s="7"/>
      <c r="G64" s="5"/>
      <c r="H64" s="5"/>
      <c r="I64" s="9"/>
    </row>
    <row r="65" spans="1:9">
      <c r="A65" s="3"/>
      <c r="B65" s="7"/>
      <c r="G65" s="5"/>
      <c r="H65" s="5"/>
      <c r="I65" s="9"/>
    </row>
    <row r="66" spans="1:9" s="7" customFormat="1">
      <c r="A66" s="3"/>
      <c r="E66" s="8"/>
      <c r="F66" s="8"/>
      <c r="G66" s="8"/>
      <c r="H66" s="8"/>
      <c r="I66" s="9"/>
    </row>
    <row r="67" spans="1:9">
      <c r="A67" s="4"/>
      <c r="B67" s="7"/>
      <c r="G67" s="5"/>
      <c r="H67" s="5"/>
      <c r="I67" s="9"/>
    </row>
    <row r="68" spans="1:9">
      <c r="A68" s="1"/>
      <c r="B68" s="7"/>
      <c r="G68" s="5"/>
      <c r="H68" s="5"/>
      <c r="I68" s="9"/>
    </row>
    <row r="69" spans="1:9">
      <c r="A69" s="6"/>
      <c r="B69" s="7"/>
      <c r="G69" s="5"/>
      <c r="H69" s="5"/>
      <c r="I69" s="9"/>
    </row>
    <row r="70" spans="1:9">
      <c r="A70" s="1"/>
      <c r="B70" s="7"/>
      <c r="G70" s="5"/>
      <c r="H70" s="5"/>
      <c r="I70" s="9"/>
    </row>
    <row r="71" spans="1:9">
      <c r="A71" s="1"/>
      <c r="B71" s="7"/>
      <c r="G71" s="5"/>
      <c r="H71" s="5"/>
      <c r="I71" s="9"/>
    </row>
    <row r="72" spans="1:9">
      <c r="A72" s="3"/>
      <c r="B72" s="7"/>
      <c r="G72" s="5"/>
      <c r="H72" s="5"/>
      <c r="I72" s="9"/>
    </row>
    <row r="73" spans="1:9">
      <c r="A73" s="3"/>
      <c r="B73" s="7"/>
      <c r="G73" s="5"/>
      <c r="H73" s="5"/>
      <c r="I73" s="9"/>
    </row>
    <row r="74" spans="1:9">
      <c r="A74" s="1"/>
      <c r="B74" s="7"/>
      <c r="G74" s="5"/>
      <c r="H74" s="5"/>
      <c r="I74" s="9"/>
    </row>
    <row r="75" spans="1:9">
      <c r="A75" s="1"/>
      <c r="B75" s="7"/>
      <c r="G75" s="5"/>
      <c r="H75" s="5"/>
      <c r="I75" s="9"/>
    </row>
    <row r="76" spans="1:9">
      <c r="A76" s="1"/>
      <c r="B76" s="7"/>
      <c r="G76" s="5"/>
      <c r="H76" s="5"/>
      <c r="I76" s="9"/>
    </row>
    <row r="77" spans="1:9">
      <c r="B77" s="7"/>
      <c r="G77" s="5"/>
      <c r="H77" s="5"/>
      <c r="I77" s="9"/>
    </row>
    <row r="78" spans="1:9">
      <c r="A78" s="2"/>
      <c r="B78" s="7"/>
      <c r="G78" s="5"/>
      <c r="H78" s="5"/>
      <c r="I78" s="9"/>
    </row>
    <row r="79" spans="1:9">
      <c r="A79" s="1"/>
      <c r="B79" s="7"/>
      <c r="G79" s="5"/>
      <c r="H79" s="5"/>
      <c r="I79" s="9"/>
    </row>
    <row r="80" spans="1:9">
      <c r="A80" s="1"/>
      <c r="B80" s="7"/>
      <c r="G80" s="5"/>
      <c r="H80" s="5"/>
      <c r="I80" s="9"/>
    </row>
    <row r="81" spans="1:9">
      <c r="A81" s="1"/>
      <c r="B81" s="7"/>
      <c r="G81" s="5"/>
      <c r="H81" s="5"/>
      <c r="I81" s="9"/>
    </row>
    <row r="82" spans="1:9">
      <c r="A82" s="1"/>
      <c r="B82" s="7"/>
      <c r="G82" s="5"/>
      <c r="H82" s="5"/>
      <c r="I82" s="9"/>
    </row>
    <row r="83" spans="1:9">
      <c r="A83" s="1"/>
      <c r="B83" s="7"/>
      <c r="G83" s="5"/>
      <c r="H83" s="5"/>
      <c r="I83" s="9"/>
    </row>
    <row r="84" spans="1:9">
      <c r="A84" s="1"/>
      <c r="B84" s="7"/>
      <c r="G84" s="5"/>
      <c r="H84" s="5"/>
      <c r="I84" s="9"/>
    </row>
    <row r="85" spans="1:9">
      <c r="B85" s="7"/>
      <c r="G85" s="5"/>
      <c r="H85" s="5"/>
      <c r="I85" s="9"/>
    </row>
    <row r="86" spans="1:9">
      <c r="A86" s="2"/>
      <c r="B86" s="7"/>
      <c r="G86" s="5"/>
      <c r="H86" s="5"/>
      <c r="I86" s="9"/>
    </row>
    <row r="87" spans="1:9">
      <c r="A87" s="1"/>
      <c r="B87" s="7"/>
      <c r="G87" s="5"/>
      <c r="H87" s="5"/>
      <c r="I87" s="9"/>
    </row>
    <row r="88" spans="1:9">
      <c r="A88" s="1"/>
      <c r="B88" s="7"/>
      <c r="G88" s="5"/>
      <c r="H88" s="5"/>
      <c r="I88" s="9"/>
    </row>
    <row r="89" spans="1:9">
      <c r="A89" s="1"/>
      <c r="B89" s="7"/>
      <c r="G89" s="5"/>
      <c r="H89" s="5"/>
      <c r="I89" s="9"/>
    </row>
    <row r="90" spans="1:9">
      <c r="A90" s="1"/>
      <c r="B90" s="7"/>
      <c r="G90" s="5"/>
      <c r="H90" s="5"/>
      <c r="I90" s="9"/>
    </row>
    <row r="91" spans="1:9">
      <c r="A91" s="1"/>
      <c r="B91" s="7"/>
      <c r="G91" s="5"/>
      <c r="H91" s="5"/>
      <c r="I91" s="9"/>
    </row>
    <row r="92" spans="1:9">
      <c r="A92" s="1"/>
      <c r="B92" s="7"/>
      <c r="G92" s="5"/>
      <c r="H92" s="5"/>
      <c r="I92" s="9"/>
    </row>
    <row r="93" spans="1:9">
      <c r="B93" s="7"/>
      <c r="G93" s="5"/>
      <c r="H93" s="5"/>
      <c r="I93" s="9"/>
    </row>
    <row r="94" spans="1:9">
      <c r="A94" s="2"/>
      <c r="B94" s="7"/>
      <c r="G94" s="5"/>
      <c r="H94" s="5"/>
      <c r="I94" s="9"/>
    </row>
    <row r="95" spans="1:9">
      <c r="A95" s="4"/>
      <c r="B95" s="7"/>
      <c r="G95" s="5"/>
      <c r="H95" s="5"/>
      <c r="I95" s="9"/>
    </row>
    <row r="96" spans="1:9">
      <c r="A96" s="4"/>
      <c r="B96" s="7"/>
      <c r="G96" s="5"/>
      <c r="H96" s="5"/>
      <c r="I96" s="9"/>
    </row>
    <row r="97" spans="1:9">
      <c r="A97" s="1"/>
      <c r="B97" s="7"/>
      <c r="G97" s="5"/>
      <c r="H97" s="5"/>
      <c r="I97" s="9"/>
    </row>
    <row r="98" spans="1:9">
      <c r="A98" s="1"/>
      <c r="B98" s="7"/>
      <c r="G98" s="5"/>
      <c r="H98" s="5"/>
      <c r="I98" s="9"/>
    </row>
    <row r="99" spans="1:9">
      <c r="B99" s="7"/>
      <c r="G99" s="5"/>
      <c r="H99" s="5"/>
      <c r="I99" s="9"/>
    </row>
    <row r="100" spans="1:9">
      <c r="A100" s="2"/>
      <c r="B100" s="7"/>
      <c r="G100" s="5"/>
      <c r="H100" s="5"/>
      <c r="I100" s="9"/>
    </row>
    <row r="101" spans="1:9">
      <c r="A101" s="1"/>
      <c r="B101" s="7"/>
      <c r="G101" s="5"/>
      <c r="H101" s="5"/>
      <c r="I101" s="9"/>
    </row>
    <row r="102" spans="1:9">
      <c r="A102" s="1"/>
      <c r="B102" s="7"/>
      <c r="G102" s="5"/>
      <c r="H102" s="5"/>
      <c r="I102" s="9"/>
    </row>
    <row r="103" spans="1:9">
      <c r="A103" s="1"/>
      <c r="B103" s="7"/>
      <c r="G103" s="5"/>
      <c r="H103" s="5"/>
      <c r="I103" s="9"/>
    </row>
    <row r="104" spans="1:9">
      <c r="A104" s="1"/>
      <c r="B104" s="7"/>
      <c r="G104" s="5"/>
      <c r="H104" s="5"/>
      <c r="I104" s="9"/>
    </row>
    <row r="105" spans="1:9">
      <c r="A105" s="1"/>
      <c r="B105" s="7"/>
      <c r="G105" s="5"/>
      <c r="H105" s="5"/>
      <c r="I105" s="9"/>
    </row>
    <row r="106" spans="1:9">
      <c r="A106" s="2"/>
      <c r="B106" s="7"/>
      <c r="G106" s="5"/>
      <c r="H106" s="5"/>
      <c r="I106" s="9"/>
    </row>
    <row r="107" spans="1:9">
      <c r="A107" s="1"/>
      <c r="B107" s="7"/>
      <c r="G107" s="5"/>
      <c r="H107" s="5"/>
      <c r="I107" s="9"/>
    </row>
    <row r="108" spans="1:9">
      <c r="A108" s="1"/>
      <c r="B108" s="7"/>
      <c r="G108" s="5"/>
      <c r="H108" s="5"/>
      <c r="I108" s="9"/>
    </row>
    <row r="109" spans="1:9">
      <c r="A109" s="1"/>
      <c r="B109" s="7"/>
      <c r="G109" s="5"/>
      <c r="H109" s="5"/>
      <c r="I109" s="9"/>
    </row>
    <row r="110" spans="1:9">
      <c r="A110" s="1"/>
      <c r="B110" s="7"/>
      <c r="G110" s="5"/>
      <c r="H110" s="5"/>
      <c r="I110" s="9"/>
    </row>
    <row r="111" spans="1:9">
      <c r="B111" s="7"/>
      <c r="G111" s="5"/>
      <c r="H111" s="5"/>
      <c r="I111" s="9"/>
    </row>
    <row r="112" spans="1:9">
      <c r="A112" s="2"/>
      <c r="B112" s="7"/>
      <c r="G112" s="5"/>
      <c r="H112" s="5"/>
      <c r="I112" s="9"/>
    </row>
    <row r="113" spans="1:9">
      <c r="A113" s="1"/>
      <c r="B113" s="7"/>
      <c r="G113" s="5"/>
      <c r="H113" s="5"/>
      <c r="I113" s="9"/>
    </row>
    <row r="114" spans="1:9">
      <c r="A114" s="4"/>
      <c r="B114" s="7"/>
      <c r="G114" s="5"/>
      <c r="H114" s="5"/>
      <c r="I114" s="9"/>
    </row>
    <row r="115" spans="1:9">
      <c r="A115" s="1"/>
      <c r="B115" s="7"/>
      <c r="G115" s="5"/>
      <c r="H115" s="5"/>
      <c r="I115" s="9"/>
    </row>
    <row r="116" spans="1:9">
      <c r="A116" s="4"/>
      <c r="B116" s="7"/>
      <c r="G116" s="5"/>
      <c r="H116" s="5"/>
      <c r="I116" s="9"/>
    </row>
    <row r="117" spans="1:9">
      <c r="A117" s="1"/>
      <c r="B117" s="7"/>
      <c r="G117" s="5"/>
      <c r="H117" s="5"/>
      <c r="I117" s="9"/>
    </row>
    <row r="118" spans="1:9">
      <c r="A118" s="1"/>
      <c r="B118" s="7"/>
      <c r="G118" s="5"/>
      <c r="H118" s="5"/>
      <c r="I118" s="9"/>
    </row>
    <row r="119" spans="1:9">
      <c r="B119" s="7"/>
      <c r="G119" s="5"/>
      <c r="H119" s="5"/>
      <c r="I119" s="9"/>
    </row>
    <row r="120" spans="1:9">
      <c r="A120" s="2"/>
      <c r="B120" s="7"/>
      <c r="G120" s="5"/>
      <c r="H120" s="5"/>
      <c r="I120" s="9"/>
    </row>
    <row r="121" spans="1:9">
      <c r="A121" s="1"/>
      <c r="B121" s="7"/>
      <c r="G121" s="5"/>
      <c r="H121" s="5"/>
      <c r="I121" s="9"/>
    </row>
    <row r="122" spans="1:9">
      <c r="A122" s="1"/>
      <c r="B122" s="7"/>
      <c r="G122" s="5"/>
      <c r="H122" s="5"/>
      <c r="I122" s="9"/>
    </row>
    <row r="123" spans="1:9">
      <c r="A123" s="1"/>
      <c r="B123" s="7"/>
      <c r="G123" s="5"/>
      <c r="H123" s="5"/>
      <c r="I123" s="9"/>
    </row>
    <row r="124" spans="1:9">
      <c r="A124" s="1"/>
      <c r="B124" s="7"/>
      <c r="G124" s="5"/>
      <c r="H124" s="5"/>
      <c r="I124" s="9"/>
    </row>
    <row r="125" spans="1:9">
      <c r="A125" s="1"/>
      <c r="B125" s="7"/>
      <c r="G125" s="5"/>
      <c r="H125" s="5"/>
      <c r="I125" s="9"/>
    </row>
    <row r="126" spans="1:9">
      <c r="A126" s="1"/>
      <c r="B126" s="7"/>
      <c r="G126" s="5"/>
      <c r="H126" s="5"/>
      <c r="I126" s="9"/>
    </row>
    <row r="127" spans="1:9">
      <c r="B127" s="7"/>
      <c r="G127" s="5"/>
      <c r="H127" s="5"/>
      <c r="I127" s="9"/>
    </row>
    <row r="128" spans="1:9">
      <c r="A128" s="2"/>
      <c r="B128" s="7"/>
      <c r="G128" s="5"/>
      <c r="H128" s="5"/>
      <c r="I128" s="9"/>
    </row>
    <row r="129" spans="1:9">
      <c r="A129" s="1"/>
      <c r="B129" s="7"/>
      <c r="G129" s="5"/>
      <c r="H129" s="5"/>
      <c r="I129" s="9"/>
    </row>
    <row r="130" spans="1:9">
      <c r="A130" s="1"/>
      <c r="B130" s="7"/>
      <c r="G130" s="5"/>
      <c r="H130" s="5"/>
      <c r="I130" s="9"/>
    </row>
    <row r="131" spans="1:9">
      <c r="A131" s="1"/>
      <c r="B131" s="7"/>
      <c r="G131" s="5"/>
      <c r="H131" s="5"/>
      <c r="I131" s="9"/>
    </row>
    <row r="132" spans="1:9">
      <c r="A132" s="1"/>
      <c r="B132" s="7"/>
      <c r="G132" s="5"/>
      <c r="H132" s="5"/>
      <c r="I132" s="9"/>
    </row>
    <row r="133" spans="1:9">
      <c r="A133" s="1"/>
      <c r="B133" s="7"/>
      <c r="G133" s="5"/>
      <c r="H133" s="5"/>
      <c r="I133" s="9"/>
    </row>
    <row r="134" spans="1:9">
      <c r="B134" s="7"/>
      <c r="G134" s="5"/>
      <c r="H134" s="5"/>
      <c r="I134" s="9"/>
    </row>
    <row r="135" spans="1:9">
      <c r="A135" s="2"/>
      <c r="B135" s="7"/>
      <c r="G135" s="5"/>
      <c r="H135" s="5"/>
      <c r="I135" s="9"/>
    </row>
    <row r="136" spans="1:9">
      <c r="A136" s="1"/>
      <c r="B136" s="7"/>
      <c r="G136" s="5"/>
      <c r="H136" s="5"/>
      <c r="I136" s="9"/>
    </row>
    <row r="137" spans="1:9">
      <c r="A137" s="1"/>
      <c r="B137" s="7"/>
      <c r="G137" s="5"/>
      <c r="H137" s="5"/>
      <c r="I137" s="9"/>
    </row>
    <row r="138" spans="1:9">
      <c r="A138" s="1"/>
      <c r="B138" s="7"/>
      <c r="G138" s="5"/>
      <c r="H138" s="5"/>
      <c r="I138" s="9"/>
    </row>
    <row r="139" spans="1:9">
      <c r="A139" s="1"/>
      <c r="B139" s="7"/>
      <c r="G139" s="5"/>
      <c r="H139" s="5"/>
      <c r="I139" s="9"/>
    </row>
    <row r="140" spans="1:9">
      <c r="A140" s="1"/>
      <c r="B140" s="7"/>
      <c r="G140" s="5"/>
      <c r="H140" s="5"/>
      <c r="I140" s="9"/>
    </row>
    <row r="141" spans="1:9">
      <c r="A141" s="1"/>
      <c r="B141" s="7"/>
      <c r="G141" s="5"/>
      <c r="H141" s="5"/>
      <c r="I141" s="9"/>
    </row>
    <row r="142" spans="1:9">
      <c r="A142" s="1"/>
      <c r="B142" s="7"/>
      <c r="G142" s="5"/>
      <c r="H142" s="5"/>
      <c r="I142" s="9"/>
    </row>
    <row r="143" spans="1:9">
      <c r="A143" s="2"/>
      <c r="B143" s="7"/>
      <c r="G143" s="5"/>
      <c r="H143" s="5"/>
      <c r="I143" s="9"/>
    </row>
    <row r="144" spans="1:9">
      <c r="A144" s="1"/>
      <c r="G144" s="5"/>
      <c r="H144" s="5"/>
      <c r="I144" s="9"/>
    </row>
    <row r="145" spans="1:9">
      <c r="A145" s="4"/>
      <c r="G145" s="5"/>
      <c r="H145" s="5"/>
      <c r="I145" s="9"/>
    </row>
    <row r="146" spans="1:9">
      <c r="A146" s="4"/>
      <c r="G146" s="5"/>
      <c r="H146" s="5"/>
      <c r="I146" s="9"/>
    </row>
    <row r="147" spans="1:9">
      <c r="A147" s="1"/>
      <c r="G147" s="5"/>
      <c r="H147" s="5"/>
      <c r="I147" s="9"/>
    </row>
    <row r="148" spans="1:9">
      <c r="A148" s="1"/>
      <c r="G148" s="5"/>
      <c r="H148" s="5"/>
      <c r="I148" s="9"/>
    </row>
    <row r="149" spans="1:9">
      <c r="G149" s="5"/>
      <c r="H149" s="5"/>
      <c r="I149" s="9"/>
    </row>
    <row r="150" spans="1:9">
      <c r="G150" s="5"/>
      <c r="H150" s="5"/>
      <c r="I150" s="9"/>
    </row>
    <row r="151" spans="1:9">
      <c r="G151" s="5"/>
      <c r="H151" s="5"/>
      <c r="I151" s="9"/>
    </row>
    <row r="152" spans="1:9">
      <c r="G152" s="5"/>
      <c r="H152" s="5"/>
      <c r="I152" s="9"/>
    </row>
    <row r="153" spans="1:9">
      <c r="G153" s="5"/>
      <c r="H153" s="5"/>
      <c r="I153" s="9"/>
    </row>
    <row r="154" spans="1:9">
      <c r="G154" s="5"/>
      <c r="H154" s="5"/>
      <c r="I154" s="9"/>
    </row>
    <row r="155" spans="1:9">
      <c r="G155" s="5"/>
      <c r="H155" s="5"/>
      <c r="I155" s="9"/>
    </row>
    <row r="156" spans="1:9">
      <c r="G156" s="5"/>
      <c r="H156" s="5"/>
      <c r="I156" s="9"/>
    </row>
    <row r="157" spans="1:9">
      <c r="G157" s="5"/>
      <c r="H157" s="5"/>
      <c r="I157" s="9"/>
    </row>
    <row r="158" spans="1:9">
      <c r="G158" s="5"/>
      <c r="H158" s="5"/>
      <c r="I158" s="9"/>
    </row>
    <row r="159" spans="1:9">
      <c r="G159" s="5"/>
      <c r="H159" s="5"/>
      <c r="I159" s="9"/>
    </row>
    <row r="160" spans="1:9">
      <c r="G160" s="5"/>
      <c r="H160" s="5"/>
      <c r="I160" s="9"/>
    </row>
    <row r="161" spans="7:17">
      <c r="G161" s="5"/>
      <c r="H161" s="5"/>
      <c r="I161" s="9"/>
    </row>
    <row r="162" spans="7:17">
      <c r="G162" s="5"/>
      <c r="H162" s="5"/>
      <c r="I162" s="9"/>
    </row>
    <row r="163" spans="7:17">
      <c r="G163" s="5"/>
      <c r="H163" s="5"/>
      <c r="I163" s="9"/>
    </row>
    <row r="164" spans="7:17">
      <c r="G164" s="5"/>
      <c r="H164" s="5"/>
      <c r="I164" s="9"/>
    </row>
    <row r="165" spans="7:17">
      <c r="G165" s="5"/>
      <c r="H165" s="5"/>
      <c r="I165" s="9"/>
    </row>
    <row r="166" spans="7:17">
      <c r="G166" s="5"/>
      <c r="H166" s="5"/>
      <c r="I166" s="9"/>
      <c r="Q166"/>
    </row>
    <row r="167" spans="7:17">
      <c r="Q167"/>
    </row>
    <row r="168" spans="7:17">
      <c r="Q168"/>
    </row>
    <row r="169" spans="7:17">
      <c r="Q169"/>
    </row>
    <row r="170" spans="7:17">
      <c r="Q170"/>
    </row>
    <row r="171" spans="7:17">
      <c r="Q171"/>
    </row>
    <row r="172" spans="7:17">
      <c r="Q172"/>
    </row>
    <row r="173" spans="7:17">
      <c r="Q173"/>
    </row>
    <row r="174" spans="7:17">
      <c r="Q174"/>
    </row>
    <row r="175" spans="7:17">
      <c r="Q175"/>
    </row>
    <row r="176" spans="7:17">
      <c r="Q176"/>
    </row>
    <row r="177" spans="7:17">
      <c r="Q177"/>
    </row>
    <row r="178" spans="7:17">
      <c r="Q178"/>
    </row>
    <row r="179" spans="7:17">
      <c r="Q179"/>
    </row>
    <row r="180" spans="7:17">
      <c r="Q180"/>
    </row>
    <row r="181" spans="7:17">
      <c r="Q181"/>
    </row>
    <row r="182" spans="7:17">
      <c r="Q182"/>
    </row>
    <row r="183" spans="7:17">
      <c r="G183" s="5"/>
      <c r="H183" s="5"/>
      <c r="I183" s="9"/>
      <c r="Q183"/>
    </row>
    <row r="184" spans="7:17">
      <c r="G184" s="5"/>
      <c r="H184" s="5"/>
      <c r="I184" s="9"/>
      <c r="Q184"/>
    </row>
    <row r="185" spans="7:17">
      <c r="G185" s="5"/>
      <c r="H185" s="5"/>
      <c r="I185" s="9"/>
      <c r="Q185"/>
    </row>
    <row r="186" spans="7:17">
      <c r="G186" s="5"/>
      <c r="H186" s="5"/>
      <c r="I186" s="9"/>
      <c r="Q186"/>
    </row>
    <row r="187" spans="7:17">
      <c r="G187" s="5"/>
      <c r="H187" s="5"/>
      <c r="I187" s="9"/>
      <c r="Q187"/>
    </row>
    <row r="188" spans="7:17">
      <c r="G188" s="5"/>
      <c r="H188" s="5"/>
      <c r="I188" s="9"/>
      <c r="Q188"/>
    </row>
    <row r="189" spans="7:17">
      <c r="G189" s="5"/>
      <c r="H189" s="5"/>
      <c r="I189" s="9"/>
      <c r="Q189"/>
    </row>
    <row r="190" spans="7:17">
      <c r="G190" s="5"/>
      <c r="H190" s="5"/>
      <c r="I190" s="9"/>
    </row>
    <row r="191" spans="7:17">
      <c r="G191" s="5"/>
      <c r="H191" s="5"/>
      <c r="I191" s="9"/>
    </row>
  </sheetData>
  <conditionalFormatting sqref="I2:I1048576">
    <cfRule type="cellIs" dxfId="3" priority="2" operator="lessThan">
      <formula>0.05</formula>
    </cfRule>
  </conditionalFormatting>
  <conditionalFormatting sqref="I1">
    <cfRule type="cellIs" dxfId="2" priority="1" operator="lessThan">
      <formula>0.05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C1F7-D0B9-428A-AC8F-3BFB7B8E118A}">
  <sheetPr codeName="Blad4"/>
  <dimension ref="A1:U184"/>
  <sheetViews>
    <sheetView zoomScale="93" zoomScaleNormal="93" workbookViewId="0">
      <selection activeCell="B25" sqref="B25"/>
    </sheetView>
  </sheetViews>
  <sheetFormatPr defaultRowHeight="12.75"/>
  <cols>
    <col min="1" max="1" width="59.5703125" bestFit="1" customWidth="1"/>
    <col min="2" max="2" width="81.7109375" bestFit="1" customWidth="1"/>
    <col min="3" max="3" width="17.7109375" bestFit="1" customWidth="1"/>
    <col min="4" max="4" width="21" bestFit="1" customWidth="1"/>
    <col min="5" max="5" width="15.28515625" style="5" bestFit="1" customWidth="1"/>
    <col min="6" max="6" width="18.5703125" style="5" bestFit="1" customWidth="1"/>
    <col min="7" max="7" width="22" bestFit="1" customWidth="1"/>
    <col min="8" max="8" width="25.28515625" bestFit="1" customWidth="1"/>
    <col min="9" max="9" width="10.5703125" style="10" bestFit="1" customWidth="1"/>
    <col min="10" max="10" width="18.85546875" bestFit="1" customWidth="1"/>
    <col min="11" max="11" width="16.28515625" style="5" bestFit="1" customWidth="1"/>
    <col min="12" max="12" width="27.85546875" bestFit="1" customWidth="1"/>
    <col min="13" max="13" width="24.5703125" bestFit="1" customWidth="1"/>
    <col min="14" max="14" width="14.28515625" bestFit="1" customWidth="1"/>
    <col min="16" max="16" width="5.85546875" bestFit="1" customWidth="1"/>
    <col min="17" max="17" width="4.85546875" style="7" bestFit="1" customWidth="1"/>
    <col min="20" max="20" width="15.85546875" customWidth="1"/>
    <col min="21" max="21" width="14.5703125" customWidth="1"/>
  </cols>
  <sheetData>
    <row r="1" spans="1:21">
      <c r="A1" t="s">
        <v>0</v>
      </c>
      <c r="B1" s="2" t="s">
        <v>333</v>
      </c>
      <c r="C1" s="16" t="s">
        <v>321</v>
      </c>
      <c r="D1" s="16" t="s">
        <v>322</v>
      </c>
      <c r="E1" s="24" t="s">
        <v>323</v>
      </c>
      <c r="F1" s="24" t="s">
        <v>324</v>
      </c>
      <c r="G1" s="26" t="s">
        <v>325</v>
      </c>
      <c r="H1" s="26" t="s">
        <v>326</v>
      </c>
      <c r="I1" s="25" t="s">
        <v>332</v>
      </c>
      <c r="J1" s="24" t="s">
        <v>329</v>
      </c>
      <c r="K1" s="24" t="s">
        <v>327</v>
      </c>
      <c r="L1" s="16" t="s">
        <v>328</v>
      </c>
      <c r="M1" s="16" t="s">
        <v>330</v>
      </c>
      <c r="N1" s="16" t="s">
        <v>331</v>
      </c>
      <c r="O1" s="16"/>
      <c r="P1" s="16" t="s">
        <v>319</v>
      </c>
      <c r="Q1" s="16" t="s">
        <v>320</v>
      </c>
      <c r="R1" s="2" t="s">
        <v>620</v>
      </c>
      <c r="S1" s="2" t="s">
        <v>621</v>
      </c>
      <c r="T1" s="2" t="s">
        <v>623</v>
      </c>
      <c r="U1" s="2" t="s">
        <v>622</v>
      </c>
    </row>
    <row r="2" spans="1:21">
      <c r="A2" s="2" t="s">
        <v>236</v>
      </c>
      <c r="G2" s="5"/>
      <c r="H2" s="5"/>
      <c r="J2" s="14"/>
      <c r="L2">
        <f>SUM($D$3:$D$141)</f>
        <v>11458</v>
      </c>
      <c r="M2">
        <f>SUM($C$3:$C$141)</f>
        <v>7214</v>
      </c>
      <c r="N2">
        <f>$L$2 + $M$2</f>
        <v>18672</v>
      </c>
      <c r="P2" s="14"/>
      <c r="Q2" s="18"/>
    </row>
    <row r="3" spans="1:21">
      <c r="A3" s="1" t="s">
        <v>283</v>
      </c>
      <c r="B3" s="30" t="s">
        <v>505</v>
      </c>
      <c r="C3">
        <v>334</v>
      </c>
      <c r="D3">
        <v>426</v>
      </c>
      <c r="E3" s="5">
        <f>($C$3/881)*100</f>
        <v>37.911464245175935</v>
      </c>
      <c r="F3" s="5">
        <f>($D$3/1376)*100</f>
        <v>30.959302325581394</v>
      </c>
      <c r="G3" s="5">
        <f>($M$2 * ($C$3 + $D$3)) / $N$2</f>
        <v>293.62896315338475</v>
      </c>
      <c r="H3" s="5">
        <f>($L$2 * ($C$3 + $D$3)) / $N$2</f>
        <v>466.37103684661525</v>
      </c>
      <c r="I3" s="9">
        <f>CHITEST($C$3:$D$3,$G$3:$H$3)</f>
        <v>2.6337112574395692E-3</v>
      </c>
      <c r="J3" s="14">
        <f>SUM($C$3,$D$3)</f>
        <v>760</v>
      </c>
      <c r="K3" s="5">
        <f>($J$3/2257*100)</f>
        <v>33.673017279574658</v>
      </c>
      <c r="P3" s="15">
        <f>(($C$3 - $G$3)^2 / $G$3) + (($D$3 - $H$3)^2 / $H$3)</f>
        <v>9.0452991841282522</v>
      </c>
      <c r="Q3" s="19">
        <f>SQRT($P$3 / $J$3)</f>
        <v>0.10909495612905452</v>
      </c>
      <c r="R3">
        <f xml:space="preserve"> (C3 / (881 - C3)) / (D3 / (1376 - D3))</f>
        <v>1.3616740050295681</v>
      </c>
      <c r="S3">
        <f>SQRT(1/C3 + 1/(881 - C3) + 1/D3 + 1/(1376 - D3))</f>
        <v>9.0676430015028231E-2</v>
      </c>
      <c r="T3">
        <f>EXP(LN((C3 / (881 - C3)) / (D3 / (1376 - D3))) - 1.96 * S3)</f>
        <v>1.1399552714317454</v>
      </c>
      <c r="U3" s="34">
        <f>EXP(LN((C3 / (881 - C3)) / (D3 / (1376 - D3))) + 1.96 * S3)</f>
        <v>1.6265165330956424</v>
      </c>
    </row>
    <row r="4" spans="1:21">
      <c r="A4" s="1" t="s">
        <v>318</v>
      </c>
      <c r="B4" s="30" t="s">
        <v>506</v>
      </c>
      <c r="C4">
        <v>288</v>
      </c>
      <c r="D4">
        <v>300</v>
      </c>
      <c r="E4" s="5">
        <f>($C$4/881)*100</f>
        <v>32.69012485811578</v>
      </c>
      <c r="F4" s="5">
        <f>($D$4/1376)*100</f>
        <v>21.802325581395348</v>
      </c>
      <c r="G4" s="5">
        <f>($M$2 * ($C$4 + $D$4)) / $N$2</f>
        <v>227.17609254498714</v>
      </c>
      <c r="H4" s="5">
        <f>($L$2 * ($C$4 + $D$4)) / $N$2</f>
        <v>360.82390745501283</v>
      </c>
      <c r="I4" s="9">
        <f>CHITEST($C$4:$D$4,$G$4:$H$4)</f>
        <v>2.584061534500886E-7</v>
      </c>
      <c r="J4" s="14">
        <f>SUM($C$4,$D$4)</f>
        <v>588</v>
      </c>
      <c r="K4" s="5">
        <f>($J$4/2257*100)</f>
        <v>26.052281789986708</v>
      </c>
      <c r="P4" s="15">
        <f>(($C$4 - $G$4)^2 / $G$4) + (($D$4 - $H$4)^2 / $H$4)</f>
        <v>26.537990165442402</v>
      </c>
      <c r="Q4" s="19">
        <f>SQRT($P$4 / $J$4)</f>
        <v>0.21244443117150988</v>
      </c>
      <c r="R4">
        <f t="shared" ref="R4:R46" si="0" xml:space="preserve"> (C4 / (881 - C4)) / (D4 / (1376 - D4))</f>
        <v>1.7419224283305226</v>
      </c>
      <c r="S4">
        <f t="shared" ref="S4:S46" si="1">SQRT(1/C4 + 1/(881 - C4) + 1/D4 + 1/(1376 - D4))</f>
        <v>9.7063197073374699E-2</v>
      </c>
      <c r="T4">
        <f t="shared" ref="T4:T46" si="2">EXP(LN((C4 / (881 - C4)) / (D4 / (1376 - D4))) - 1.96 * S4)</f>
        <v>1.4401474165321078</v>
      </c>
      <c r="U4" s="34">
        <f t="shared" ref="U4:U46" si="3">EXP(LN((C4 / (881 - C4)) / (D4 / (1376 - D4))) + 1.96 * S4)</f>
        <v>2.106932742779569</v>
      </c>
    </row>
    <row r="5" spans="1:21">
      <c r="A5" s="1" t="s">
        <v>284</v>
      </c>
      <c r="B5" s="30" t="s">
        <v>507</v>
      </c>
      <c r="C5">
        <v>244</v>
      </c>
      <c r="D5">
        <v>246</v>
      </c>
      <c r="E5" s="5">
        <f>($C$5/881)*100</f>
        <v>27.695800227014754</v>
      </c>
      <c r="F5" s="5">
        <f>($D$5/1376)*100</f>
        <v>17.877906976744189</v>
      </c>
      <c r="G5" s="5">
        <f>($M$2 * ($C$5 + $D$5)) / $N$2</f>
        <v>189.31341045415596</v>
      </c>
      <c r="H5" s="5">
        <f>($L$2 * ($C$5 + $D$5)) / $N$2</f>
        <v>300.68658954584407</v>
      </c>
      <c r="I5" s="9">
        <f>CHITEST($C$5:$D$5,$G$5:$H$5)</f>
        <v>3.900012124846996E-7</v>
      </c>
      <c r="J5" s="14">
        <f>SUM($C$5,$D$5)</f>
        <v>490</v>
      </c>
      <c r="K5" s="5">
        <f>($J$5/2257*100)</f>
        <v>21.710234824988923</v>
      </c>
      <c r="P5" s="15">
        <f>(($C$5 - $G$5)^2 / $G$5) + (($D$5 - $H$5)^2 / $H$5)</f>
        <v>25.743187599507813</v>
      </c>
      <c r="Q5" s="19">
        <f>SQRT($P$5 / $J$5)</f>
        <v>0.22920976757113984</v>
      </c>
      <c r="R5">
        <f t="shared" si="0"/>
        <v>1.7595180661382752</v>
      </c>
      <c r="S5">
        <f t="shared" si="1"/>
        <v>0.10304472704157382</v>
      </c>
      <c r="T5">
        <f t="shared" si="2"/>
        <v>1.4377397760262329</v>
      </c>
      <c r="U5" s="34">
        <f t="shared" si="3"/>
        <v>2.1533130519792256</v>
      </c>
    </row>
    <row r="6" spans="1:21">
      <c r="A6" s="4" t="s">
        <v>285</v>
      </c>
      <c r="B6" s="30" t="s">
        <v>508</v>
      </c>
      <c r="C6">
        <v>160</v>
      </c>
      <c r="D6">
        <v>219</v>
      </c>
      <c r="E6" s="5">
        <f>($C$6/881)*100</f>
        <v>18.161180476730987</v>
      </c>
      <c r="F6" s="5">
        <f>($D$6/1376)*100</f>
        <v>15.915697674418606</v>
      </c>
      <c r="G6" s="5">
        <f>($M$2 * ($C$6 + $D$6)) / $N$2</f>
        <v>146.42812767780634</v>
      </c>
      <c r="H6" s="5">
        <f>($L$2 * ($C$6 + $D$6)) / $N$2</f>
        <v>232.57187232219366</v>
      </c>
      <c r="I6" s="9">
        <f>CHITEST($C$6:$D$6,$G$6:$H$6)</f>
        <v>0.15221412668002671</v>
      </c>
      <c r="J6" s="14">
        <f>SUM($C$6,$D$6)</f>
        <v>379</v>
      </c>
      <c r="K6" s="5">
        <f>($J$6/2257*100)</f>
        <v>16.792202038103675</v>
      </c>
      <c r="P6" s="15">
        <f>(($C$6 - $G$6)^2 / $G$6) + (($D$6 - $H$6)^2 / $H$6)</f>
        <v>2.0499206117179223</v>
      </c>
      <c r="Q6" s="19">
        <f>SQRT($P$6 / $J$6)</f>
        <v>7.3544282636317557E-2</v>
      </c>
      <c r="R6">
        <f t="shared" si="0"/>
        <v>1.1723950120013427</v>
      </c>
      <c r="S6">
        <f t="shared" si="1"/>
        <v>0.11431306501342683</v>
      </c>
      <c r="T6">
        <f t="shared" si="2"/>
        <v>0.93706284167811826</v>
      </c>
      <c r="U6" s="34">
        <f t="shared" si="3"/>
        <v>1.4668280536064342</v>
      </c>
    </row>
    <row r="7" spans="1:21">
      <c r="A7" s="1" t="s">
        <v>286</v>
      </c>
      <c r="B7" s="30" t="s">
        <v>509</v>
      </c>
      <c r="C7">
        <v>96</v>
      </c>
      <c r="D7">
        <v>166</v>
      </c>
      <c r="E7" s="5">
        <f>($C$7/881)*100</f>
        <v>10.896708286038592</v>
      </c>
      <c r="F7" s="5">
        <f>($D$7/1376)*100</f>
        <v>12.063953488372094</v>
      </c>
      <c r="G7" s="5">
        <f>($M$2 * ($C$7 + $D$7)) / $N$2</f>
        <v>101.22472150814053</v>
      </c>
      <c r="H7" s="5">
        <f>($L$2 * ($C$7 + $D$7)) / $N$2</f>
        <v>160.77527849185947</v>
      </c>
      <c r="I7" s="9">
        <f>CHITEST($C$7:$D$7,$G$7:$H$7)</f>
        <v>0.50738204631954242</v>
      </c>
      <c r="J7" s="14">
        <f>SUM($C$7,$D$7)</f>
        <v>262</v>
      </c>
      <c r="K7" s="5">
        <f>($J$7/2257*100)</f>
        <v>11.608329641116526</v>
      </c>
      <c r="P7" s="15">
        <f>(($C$7 - $G$7)^2 / $G$7) + (($D$7 - $H$7)^2 / $H$7)</f>
        <v>0.43946239966844997</v>
      </c>
      <c r="Q7" s="19">
        <f>SQRT($P$7 / $J$7)</f>
        <v>4.0955309830529842E-2</v>
      </c>
      <c r="R7">
        <f t="shared" si="0"/>
        <v>0.89141278489755205</v>
      </c>
      <c r="S7">
        <f t="shared" si="1"/>
        <v>0.13616568834886064</v>
      </c>
      <c r="T7">
        <f t="shared" si="2"/>
        <v>0.68260943173054611</v>
      </c>
      <c r="U7" s="34">
        <f t="shared" si="3"/>
        <v>1.1640869817229205</v>
      </c>
    </row>
    <row r="8" spans="1:21">
      <c r="A8" s="1" t="s">
        <v>287</v>
      </c>
      <c r="B8" s="30" t="s">
        <v>510</v>
      </c>
      <c r="C8">
        <v>512</v>
      </c>
      <c r="D8">
        <v>703</v>
      </c>
      <c r="E8" s="5">
        <f>($C$8/881)*100</f>
        <v>58.115777525539158</v>
      </c>
      <c r="F8" s="5">
        <f>($D$8/1376)*100</f>
        <v>51.090116279069761</v>
      </c>
      <c r="G8" s="5">
        <f>($M$2 * ($C$8 + $D$8)) / $N$2</f>
        <v>469.41998714652954</v>
      </c>
      <c r="H8" s="5">
        <f>($L$2 * ($C$8 + $D$8)) / $N$2</f>
        <v>745.58001285347041</v>
      </c>
      <c r="I8" s="9">
        <f>CHITEST($C$8:$D$8,$G$8:$H$8)</f>
        <v>1.211421135352065E-2</v>
      </c>
      <c r="J8" s="14">
        <f>SUM($C$8,$D$8)</f>
        <v>1215</v>
      </c>
      <c r="K8" s="5">
        <f>($J$8/2257*100)</f>
        <v>53.832521045635794</v>
      </c>
      <c r="P8" s="15">
        <f>(($C$8 - $G$8)^2 / $G$8) + (($D$8 - $H$8)^2 / $H$8)</f>
        <v>6.294076540963168</v>
      </c>
      <c r="Q8" s="19">
        <f>SQRT($P$8 / $J$8)</f>
        <v>7.1974369814940029E-2</v>
      </c>
      <c r="R8">
        <f t="shared" si="0"/>
        <v>1.3283219034181806</v>
      </c>
      <c r="S8">
        <f t="shared" si="1"/>
        <v>8.7014431607617557E-2</v>
      </c>
      <c r="T8">
        <f t="shared" si="2"/>
        <v>1.1200441821555567</v>
      </c>
      <c r="U8" s="34">
        <f t="shared" si="3"/>
        <v>1.575329890741261</v>
      </c>
    </row>
    <row r="9" spans="1:21">
      <c r="A9" s="1" t="s">
        <v>288</v>
      </c>
      <c r="B9" s="30" t="s">
        <v>511</v>
      </c>
      <c r="C9">
        <v>66</v>
      </c>
      <c r="D9">
        <v>40</v>
      </c>
      <c r="E9" s="5">
        <f>($C$9/881)*100</f>
        <v>7.4914869466515324</v>
      </c>
      <c r="F9" s="5">
        <f>($D$9/1376)*100</f>
        <v>2.9069767441860463</v>
      </c>
      <c r="G9" s="5">
        <f>($M$2 * ($C$9 + $D$9)) / $N$2</f>
        <v>40.953513281919449</v>
      </c>
      <c r="H9" s="5">
        <f>($L$2 * ($C$9 + $D$9)) / $N$2</f>
        <v>65.046486718080544</v>
      </c>
      <c r="I9" s="9">
        <f>CHITEST($C$9:$D$9,$G$9:$H$9)</f>
        <v>5.8462553692963769E-7</v>
      </c>
      <c r="J9" s="14">
        <f>SUM($C$9,$D$9)</f>
        <v>106</v>
      </c>
      <c r="K9" s="5">
        <f>($J$9/2257*100)</f>
        <v>4.6964997784669915</v>
      </c>
      <c r="P9" s="15">
        <f>(($C$9 - $G$9)^2 / $G$9) + (($D$9 - $H$9)^2 / $H$9)</f>
        <v>24.962293650988649</v>
      </c>
      <c r="Q9" s="19">
        <f>SQRT($P$9 / $J$9)</f>
        <v>0.48527655654284557</v>
      </c>
      <c r="R9">
        <f t="shared" si="0"/>
        <v>2.7047852760736197</v>
      </c>
      <c r="S9">
        <f t="shared" si="1"/>
        <v>0.20524865897383546</v>
      </c>
      <c r="T9">
        <f t="shared" si="2"/>
        <v>1.8089293613155148</v>
      </c>
      <c r="U9" s="34">
        <f t="shared" si="3"/>
        <v>4.0443057347160885</v>
      </c>
    </row>
    <row r="10" spans="1:21">
      <c r="A10" s="1" t="s">
        <v>289</v>
      </c>
      <c r="B10" s="30" t="s">
        <v>512</v>
      </c>
      <c r="C10">
        <v>382</v>
      </c>
      <c r="D10">
        <v>458</v>
      </c>
      <c r="E10" s="5">
        <f>($C$10/881)*100</f>
        <v>43.359818388195229</v>
      </c>
      <c r="F10" s="5">
        <f>($D$10/1376)*100</f>
        <v>33.284883720930232</v>
      </c>
      <c r="G10" s="5">
        <f>($M$2 * ($C$10 + $D$10)) / $N$2</f>
        <v>324.53727506426736</v>
      </c>
      <c r="H10" s="5">
        <f>($L$2 * ($C$10 + $D$10)) / $N$2</f>
        <v>515.46272493573269</v>
      </c>
      <c r="I10" s="9">
        <f>CHITEST($C$10:$D$10,$G$10:$H$10)</f>
        <v>4.6635272600375897E-5</v>
      </c>
      <c r="J10" s="14">
        <f>SUM($C$10,$D$10)</f>
        <v>840</v>
      </c>
      <c r="K10" s="5">
        <f>($J$10/2257*100)</f>
        <v>37.217545414266731</v>
      </c>
      <c r="P10" s="15">
        <f>(($C$10 - $G$10)^2 / $G$10) + (($D$10 - $H$10)^2 / $H$10)</f>
        <v>16.580203973105828</v>
      </c>
      <c r="Q10" s="19">
        <f>SQRT($P$10 / $J$10)</f>
        <v>0.14049319578976494</v>
      </c>
      <c r="R10">
        <f t="shared" si="0"/>
        <v>1.5344050546507864</v>
      </c>
      <c r="S10">
        <f t="shared" si="1"/>
        <v>8.8851222813341096E-2</v>
      </c>
      <c r="T10">
        <f t="shared" si="2"/>
        <v>1.2891644852054456</v>
      </c>
      <c r="U10" s="34">
        <f t="shared" si="3"/>
        <v>1.8262982720646992</v>
      </c>
    </row>
    <row r="11" spans="1:21">
      <c r="A11" s="1" t="s">
        <v>290</v>
      </c>
      <c r="B11" s="30" t="s">
        <v>513</v>
      </c>
      <c r="C11">
        <v>210</v>
      </c>
      <c r="D11">
        <v>339</v>
      </c>
      <c r="E11" s="5">
        <f>($C$11/881)*100</f>
        <v>23.836549375709421</v>
      </c>
      <c r="F11" s="5">
        <f>($D$11/1376)*100</f>
        <v>24.636627906976745</v>
      </c>
      <c r="G11" s="5">
        <f>($M$2 * ($C$11 + $D$11)) / $N$2</f>
        <v>212.10829048843189</v>
      </c>
      <c r="H11" s="5">
        <f>($L$2 * ($C$11 + $D$11)) / $N$2</f>
        <v>336.89170951156814</v>
      </c>
      <c r="I11" s="9">
        <f>CHITEST($C$11:$D$11,$G$11:$H$11)</f>
        <v>0.85338902150036389</v>
      </c>
      <c r="J11" s="14">
        <f>SUM($C$11,$D$11)</f>
        <v>549</v>
      </c>
      <c r="K11" s="5">
        <f>($J$11/2257*100)</f>
        <v>24.324324324324326</v>
      </c>
      <c r="P11" s="15">
        <f>(($C$11 - $G$11)^2 / $G$11) + (($D$11 - $H$11)^2 / $H$11)</f>
        <v>3.4149572860265459E-2</v>
      </c>
      <c r="Q11" s="19">
        <f>SQRT($P$11 / $J$11)</f>
        <v>7.8869023864677791E-3</v>
      </c>
      <c r="R11">
        <f t="shared" si="0"/>
        <v>0.95736122284794845</v>
      </c>
      <c r="S11">
        <f t="shared" si="1"/>
        <v>0.10082851972181987</v>
      </c>
      <c r="T11">
        <f t="shared" si="2"/>
        <v>0.7856857276852085</v>
      </c>
      <c r="U11" s="34">
        <f t="shared" si="3"/>
        <v>1.1665485049769655</v>
      </c>
    </row>
    <row r="12" spans="1:21" ht="25.5">
      <c r="A12" s="4" t="s">
        <v>291</v>
      </c>
      <c r="B12" s="30" t="s">
        <v>514</v>
      </c>
      <c r="C12" s="1">
        <v>146</v>
      </c>
      <c r="D12" s="1">
        <v>251</v>
      </c>
      <c r="E12" s="5">
        <f>($C$12/881)*100</f>
        <v>16.572077185017026</v>
      </c>
      <c r="F12" s="5">
        <f>($D$12/1376)*100</f>
        <v>18.24127906976744</v>
      </c>
      <c r="G12" s="5">
        <f>($M$2 * ($C$12 + $D$12)) / $N$2</f>
        <v>153.38249785775491</v>
      </c>
      <c r="H12" s="5">
        <f>($L$2 * ($C$12 + $D$12)) / $N$2</f>
        <v>243.61750214224509</v>
      </c>
      <c r="I12" s="9">
        <f>CHITEST($C$12:$D$12,$G$12:$H$12)</f>
        <v>0.44668660202174182</v>
      </c>
      <c r="J12" s="14">
        <f>SUM($C$12,$D$12)</f>
        <v>397</v>
      </c>
      <c r="K12" s="5">
        <f>($J$12/2257*100)</f>
        <v>17.58972086840939</v>
      </c>
      <c r="P12" s="15">
        <f>(($C$12 - $G$12)^2 / $G$12) + (($D$12 - $H$12)^2 / $H$12)</f>
        <v>0.57904574411360143</v>
      </c>
      <c r="Q12" s="19">
        <f>SQRT($P$12 / $J$12)</f>
        <v>3.819101349298238E-2</v>
      </c>
      <c r="R12">
        <f t="shared" si="0"/>
        <v>0.89031628587690059</v>
      </c>
      <c r="S12">
        <f t="shared" si="1"/>
        <v>0.11438012030107782</v>
      </c>
      <c r="T12">
        <f t="shared" si="2"/>
        <v>0.71151161438198218</v>
      </c>
      <c r="U12" s="34">
        <f t="shared" si="3"/>
        <v>1.1140550243668823</v>
      </c>
    </row>
    <row r="13" spans="1:21">
      <c r="B13" s="7"/>
      <c r="G13" s="5"/>
      <c r="H13" s="5"/>
      <c r="I13" s="9"/>
      <c r="J13" s="14"/>
      <c r="P13" s="15"/>
      <c r="Q13" s="19"/>
      <c r="U13" s="34"/>
    </row>
    <row r="14" spans="1:21">
      <c r="A14" s="2" t="s">
        <v>237</v>
      </c>
      <c r="B14" s="7"/>
      <c r="G14" s="5"/>
      <c r="H14" s="5"/>
      <c r="I14" s="9"/>
      <c r="J14" s="14"/>
      <c r="P14" s="15"/>
      <c r="Q14" s="19"/>
      <c r="U14" s="34"/>
    </row>
    <row r="15" spans="1:21">
      <c r="A15" s="1" t="s">
        <v>292</v>
      </c>
      <c r="B15" s="30" t="s">
        <v>429</v>
      </c>
      <c r="C15" s="1">
        <v>196</v>
      </c>
      <c r="D15" s="1">
        <v>303</v>
      </c>
      <c r="E15" s="5">
        <f>($C$15/881)*100</f>
        <v>22.24744608399546</v>
      </c>
      <c r="F15" s="5">
        <f>($D$15/1376)*100</f>
        <v>22.020348837209301</v>
      </c>
      <c r="G15" s="5">
        <f>($M$2 * ($C$15 + $D$15)) / $N$2</f>
        <v>192.79059554413024</v>
      </c>
      <c r="H15" s="5">
        <f>($L$2 * ($C$15 + $D$15)) / $N$2</f>
        <v>306.20940445586973</v>
      </c>
      <c r="I15" s="9">
        <f>CHITEST($C$15:$D$15,$G$15:$H$15)</f>
        <v>0.76794171308035664</v>
      </c>
      <c r="J15" s="14">
        <f>SUM($C$15,$D$15)</f>
        <v>499</v>
      </c>
      <c r="K15" s="5">
        <f>($J$15/2257*100)</f>
        <v>22.108994240141779</v>
      </c>
      <c r="P15" s="15">
        <f>(($C$15 - $G$15)^2 / $G$15) + (($D$15 - $H$15)^2 / $H$15)</f>
        <v>8.7065295503126139E-2</v>
      </c>
      <c r="Q15" s="19">
        <f>SQRT($P$15 / $J$15)</f>
        <v>1.3209070751058351E-2</v>
      </c>
      <c r="R15">
        <f t="shared" si="0"/>
        <v>1.0132639541326394</v>
      </c>
      <c r="S15">
        <f t="shared" si="1"/>
        <v>0.10389509763764698</v>
      </c>
      <c r="T15">
        <f t="shared" si="2"/>
        <v>0.82658077650341311</v>
      </c>
      <c r="U15" s="34">
        <f t="shared" si="3"/>
        <v>1.2421095069348882</v>
      </c>
    </row>
    <row r="16" spans="1:21">
      <c r="A16" s="1" t="s">
        <v>293</v>
      </c>
      <c r="B16" s="30" t="s">
        <v>515</v>
      </c>
      <c r="C16">
        <v>153</v>
      </c>
      <c r="D16">
        <v>212</v>
      </c>
      <c r="E16" s="5">
        <f>($C$16/881)*100</f>
        <v>17.366628830874006</v>
      </c>
      <c r="F16" s="5">
        <f>($D$16/1376)*100</f>
        <v>15.406976744186046</v>
      </c>
      <c r="G16" s="5">
        <f>($M$2 * ($C$16 + $D$16)) / $N$2</f>
        <v>141.01917309340189</v>
      </c>
      <c r="H16" s="5">
        <f>($L$2 * ($C$16 + $D$16)) / $N$2</f>
        <v>223.98082690659811</v>
      </c>
      <c r="I16" s="9">
        <f>CHITEST($C$16:$D$16,$G$16:$H$16)</f>
        <v>0.1977739831494143</v>
      </c>
      <c r="J16" s="14">
        <f>SUM($C$16,$D$16)</f>
        <v>365</v>
      </c>
      <c r="K16" s="5">
        <f>($J$16/2257*100)</f>
        <v>16.171909614532566</v>
      </c>
      <c r="P16" s="15">
        <f>(($C$16 - $G$16)^2 / $G$16) + (($D$16 - $H$16)^2 / $H$16)</f>
        <v>1.658736665081217</v>
      </c>
      <c r="Q16" s="19">
        <f>SQRT($P$16 / $J$16)</f>
        <v>6.7412788207588198E-2</v>
      </c>
      <c r="R16">
        <f t="shared" si="0"/>
        <v>1.1539239062823969</v>
      </c>
      <c r="S16">
        <f t="shared" si="1"/>
        <v>0.11612778197886055</v>
      </c>
      <c r="T16">
        <f t="shared" si="2"/>
        <v>0.91902474970446302</v>
      </c>
      <c r="U16" s="34">
        <f t="shared" si="3"/>
        <v>1.448862374944982</v>
      </c>
    </row>
    <row r="17" spans="1:21">
      <c r="A17" s="4" t="s">
        <v>294</v>
      </c>
      <c r="B17" s="30" t="s">
        <v>516</v>
      </c>
      <c r="C17">
        <v>70</v>
      </c>
      <c r="D17">
        <v>131</v>
      </c>
      <c r="E17" s="5">
        <f>($C$17/881)*100</f>
        <v>7.9455164585698066</v>
      </c>
      <c r="F17" s="5">
        <f>($D$17/1376)*100</f>
        <v>9.520348837209303</v>
      </c>
      <c r="G17" s="5">
        <f>($M$2 * ($C$17 + $D$17)) / $N$2</f>
        <v>77.657133676092542</v>
      </c>
      <c r="H17" s="5">
        <f>($L$2 * ($C$17 + $D$17)) / $N$2</f>
        <v>123.34286632390746</v>
      </c>
      <c r="I17" s="9">
        <f>CHITEST($C$17:$D$17,$G$17:$H$17)</f>
        <v>0.26733653214825576</v>
      </c>
      <c r="J17" s="14">
        <f>SUM($C$17,$D$17)</f>
        <v>201</v>
      </c>
      <c r="K17" s="5">
        <f>($J$17/2257*100)</f>
        <v>8.9056269384138247</v>
      </c>
      <c r="P17" s="15">
        <f>(($C$17 - $G$17)^2 / $G$17) + (($D$17 - $H$17)^2 / $H$17)</f>
        <v>1.2303626023121459</v>
      </c>
      <c r="Q17" s="19">
        <f>SQRT($P$17 / $J$17)</f>
        <v>7.8238142722570708E-2</v>
      </c>
      <c r="R17">
        <f t="shared" si="0"/>
        <v>0.82030477875773011</v>
      </c>
      <c r="S17">
        <f t="shared" si="1"/>
        <v>0.15477583967166028</v>
      </c>
      <c r="T17">
        <f t="shared" si="2"/>
        <v>0.60565790099469907</v>
      </c>
      <c r="U17" s="34">
        <f t="shared" si="3"/>
        <v>1.1110231187401913</v>
      </c>
    </row>
    <row r="18" spans="1:21">
      <c r="A18" s="4" t="s">
        <v>295</v>
      </c>
      <c r="B18" s="30" t="s">
        <v>517</v>
      </c>
      <c r="C18">
        <v>279</v>
      </c>
      <c r="D18">
        <v>377</v>
      </c>
      <c r="E18" s="5">
        <f>($C$18/881)*100</f>
        <v>31.66855845629966</v>
      </c>
      <c r="F18" s="5">
        <f>($D$18/1376)*100</f>
        <v>27.398255813953487</v>
      </c>
      <c r="G18" s="5">
        <f>($M$2 * ($C$18 + $D$18)) / $N$2</f>
        <v>253.44815766923736</v>
      </c>
      <c r="H18" s="5">
        <f>($L$2 * ($C$18 + $D$18)) / $N$2</f>
        <v>402.55184233076267</v>
      </c>
      <c r="I18" s="9">
        <f>CHITEST($C$18:$D$18,$G$18:$H$18)</f>
        <v>4.0472864452151619E-2</v>
      </c>
      <c r="J18" s="14">
        <f>SUM($C$18,$D$18)</f>
        <v>656</v>
      </c>
      <c r="K18" s="5">
        <f>($J$18/2257*100)</f>
        <v>29.065130704474967</v>
      </c>
      <c r="P18" s="15">
        <f>(($C$18 - $G$18)^2 / $G$18) + (($D$18 - $H$18)^2 / $H$18)</f>
        <v>4.1979505652171047</v>
      </c>
      <c r="Q18" s="19">
        <f>SQRT($P$18 / $J$18)</f>
        <v>7.9995717922909368E-2</v>
      </c>
      <c r="R18">
        <f t="shared" si="0"/>
        <v>1.2280946799792027</v>
      </c>
      <c r="S18">
        <f t="shared" si="1"/>
        <v>9.4333874370172668E-2</v>
      </c>
      <c r="T18">
        <f t="shared" si="2"/>
        <v>1.0207825448154544</v>
      </c>
      <c r="U18" s="34">
        <f t="shared" si="3"/>
        <v>1.4775101226538787</v>
      </c>
    </row>
    <row r="19" spans="1:21">
      <c r="A19" s="3"/>
      <c r="B19" s="7"/>
      <c r="G19" s="5"/>
      <c r="H19" s="5"/>
      <c r="I19" s="9"/>
      <c r="J19" s="14"/>
      <c r="P19" s="15"/>
      <c r="Q19" s="19"/>
      <c r="U19" s="34"/>
    </row>
    <row r="20" spans="1:21">
      <c r="A20" s="3" t="s">
        <v>238</v>
      </c>
      <c r="B20" s="7"/>
      <c r="G20" s="5"/>
      <c r="H20" s="5"/>
      <c r="I20" s="9"/>
      <c r="J20" s="14"/>
      <c r="P20" s="15"/>
      <c r="Q20" s="19"/>
      <c r="U20" s="34"/>
    </row>
    <row r="21" spans="1:21">
      <c r="A21" s="1" t="s">
        <v>296</v>
      </c>
      <c r="B21" s="30" t="s">
        <v>518</v>
      </c>
      <c r="C21">
        <v>177</v>
      </c>
      <c r="D21">
        <v>339</v>
      </c>
      <c r="E21" s="5">
        <f>($C$21/881)*100</f>
        <v>20.090805902383654</v>
      </c>
      <c r="F21" s="5">
        <f>($D$21/1376)*100</f>
        <v>24.636627906976745</v>
      </c>
      <c r="G21" s="5">
        <f>($M$2 * ($C$21 + $D$21)) / $N$2</f>
        <v>199.35861182519281</v>
      </c>
      <c r="H21" s="5">
        <f>($L$2 * ($C$21 + $D$21)) / $N$2</f>
        <v>316.64138817480722</v>
      </c>
      <c r="I21" s="9">
        <f>CHITEST($C$21:$D$21,$G$21:$H$21)</f>
        <v>4.3230631537235352E-2</v>
      </c>
      <c r="J21" s="14">
        <f>SUM($C$21,$D$21)</f>
        <v>516</v>
      </c>
      <c r="K21" s="5">
        <f>($J$21/2257*100)</f>
        <v>22.862206468763844</v>
      </c>
      <c r="P21" s="15">
        <f>(($C$21 - $G$21)^2 / $G$21) + (($D$21 - $H$21)^2 / $H$21)</f>
        <v>4.0863606363001788</v>
      </c>
      <c r="Q21" s="19">
        <f>SQRT($P$21 / $J$21)</f>
        <v>8.8990468920673055E-2</v>
      </c>
      <c r="R21">
        <f t="shared" si="0"/>
        <v>0.7690944288012872</v>
      </c>
      <c r="S21">
        <f t="shared" si="1"/>
        <v>0.10480622463024176</v>
      </c>
      <c r="T21">
        <f t="shared" si="2"/>
        <v>0.62627749521593823</v>
      </c>
      <c r="U21" s="34">
        <f t="shared" si="3"/>
        <v>0.94447947584198111</v>
      </c>
    </row>
    <row r="22" spans="1:21">
      <c r="A22" s="1" t="s">
        <v>297</v>
      </c>
      <c r="B22" s="30" t="s">
        <v>519</v>
      </c>
      <c r="C22">
        <v>101</v>
      </c>
      <c r="D22">
        <v>191</v>
      </c>
      <c r="E22" s="5">
        <f>($C$22/881)*100</f>
        <v>11.464245175936435</v>
      </c>
      <c r="F22" s="5">
        <f>($D$22/1376)*100</f>
        <v>13.880813953488373</v>
      </c>
      <c r="G22" s="5">
        <f>($M$2 * ($C$22 + $D$22)) / $N$2</f>
        <v>112.81533847472151</v>
      </c>
      <c r="H22" s="5">
        <f>($L$2 * ($C$22 + $D$22)) / $N$2</f>
        <v>179.1846615252785</v>
      </c>
      <c r="I22" s="9">
        <f>CHITEST($C$22:$D$22,$G$22:$H$22)</f>
        <v>0.1555936331996518</v>
      </c>
      <c r="J22" s="14">
        <f>SUM($C$22,$D$22)</f>
        <v>292</v>
      </c>
      <c r="K22" s="5">
        <f>($J$22/2257*100)</f>
        <v>12.937527691626052</v>
      </c>
      <c r="P22" s="15">
        <f>(($C$22 - $G$22)^2 / $G$22) + (($D$22 - $H$22)^2 / $H$22)</f>
        <v>2.0165370459486223</v>
      </c>
      <c r="Q22" s="19">
        <f>SQRT($P$22 / $J$22)</f>
        <v>8.310203840758229E-2</v>
      </c>
      <c r="R22">
        <f t="shared" si="0"/>
        <v>0.80336286749899322</v>
      </c>
      <c r="S22">
        <f t="shared" si="1"/>
        <v>0.13138692983642666</v>
      </c>
      <c r="T22">
        <f t="shared" si="2"/>
        <v>0.62097332070504274</v>
      </c>
      <c r="U22" s="34">
        <f t="shared" si="3"/>
        <v>1.0393230680883967</v>
      </c>
    </row>
    <row r="23" spans="1:21">
      <c r="A23" s="1" t="s">
        <v>298</v>
      </c>
      <c r="B23" s="30" t="s">
        <v>520</v>
      </c>
      <c r="C23">
        <v>142</v>
      </c>
      <c r="D23">
        <v>261</v>
      </c>
      <c r="E23" s="5">
        <f>($C$23/881)*100</f>
        <v>16.118047673098751</v>
      </c>
      <c r="F23" s="5">
        <f>($D$23/1376)*100</f>
        <v>18.968023255813954</v>
      </c>
      <c r="G23" s="5">
        <f>($M$2 * ($C$23 + $D$23)) / $N$2</f>
        <v>155.70062125107111</v>
      </c>
      <c r="H23" s="5">
        <f>($L$2 * ($C$23 + $D$23)) / $N$2</f>
        <v>247.29937874892889</v>
      </c>
      <c r="I23" s="9">
        <f>CHITEST($C$23:$D$23,$G$23:$H$23)</f>
        <v>0.16102314684582647</v>
      </c>
      <c r="J23" s="14">
        <f>SUM($C$23,$D$23)</f>
        <v>403</v>
      </c>
      <c r="K23" s="5">
        <f>($J$23/2257*100)</f>
        <v>17.855560478511297</v>
      </c>
      <c r="P23" s="15">
        <f>(($C$23 - $G$23)^2 / $G$23) + (($D$23 - $H$23)^2 / $H$23)</f>
        <v>1.96459120964145</v>
      </c>
      <c r="Q23" s="19">
        <f>SQRT($P$23 / $J$23)</f>
        <v>6.9820599775112582E-2</v>
      </c>
      <c r="R23">
        <f t="shared" si="0"/>
        <v>0.82087733760544179</v>
      </c>
      <c r="S23">
        <f t="shared" si="1"/>
        <v>0.11455877140198091</v>
      </c>
      <c r="T23">
        <f t="shared" si="2"/>
        <v>0.65578861268817523</v>
      </c>
      <c r="U23" s="34">
        <f t="shared" si="3"/>
        <v>1.0275256238927808</v>
      </c>
    </row>
    <row r="24" spans="1:21">
      <c r="A24" s="1" t="s">
        <v>299</v>
      </c>
      <c r="B24" s="30" t="s">
        <v>424</v>
      </c>
      <c r="C24">
        <v>106</v>
      </c>
      <c r="D24">
        <v>231</v>
      </c>
      <c r="E24" s="5">
        <f>($C$24/881)*100</f>
        <v>12.031782065834278</v>
      </c>
      <c r="F24" s="5">
        <f>($D$24/1376)*100</f>
        <v>16.787790697674417</v>
      </c>
      <c r="G24" s="5">
        <f>($M$2 * ($C$24 + $D$24)) / $N$2</f>
        <v>130.20126392459298</v>
      </c>
      <c r="H24" s="5">
        <f>($L$2 * ($C$24 + $D$24)) / $N$2</f>
        <v>206.79873607540702</v>
      </c>
      <c r="I24" s="9">
        <f>CHITEST($C$24:$D$24,$G$24:$H$24)</f>
        <v>6.7788260186978574E-3</v>
      </c>
      <c r="J24" s="14">
        <f>SUM($C$24,$D$24)</f>
        <v>337</v>
      </c>
      <c r="K24" s="5">
        <f>($J$24/2257*100)</f>
        <v>14.931324767390342</v>
      </c>
      <c r="P24" s="15">
        <f>(($C$24 - $G$24)^2 / $G$24) + (($D$24 - $H$24)^2 / $H$24)</f>
        <v>7.33065728524456</v>
      </c>
      <c r="Q24" s="19">
        <f>SQRT($P$24 / $J$24)</f>
        <v>0.14748793930719142</v>
      </c>
      <c r="R24">
        <f t="shared" si="0"/>
        <v>0.67795000698226504</v>
      </c>
      <c r="S24">
        <f t="shared" si="1"/>
        <v>0.12620083842516769</v>
      </c>
      <c r="T24">
        <f t="shared" si="2"/>
        <v>0.52938709132129125</v>
      </c>
      <c r="U24" s="34">
        <f t="shared" si="3"/>
        <v>0.86820441884992383</v>
      </c>
    </row>
    <row r="25" spans="1:21">
      <c r="A25" s="1" t="s">
        <v>300</v>
      </c>
      <c r="B25" s="30" t="s">
        <v>430</v>
      </c>
      <c r="C25">
        <v>183</v>
      </c>
      <c r="D25">
        <v>321</v>
      </c>
      <c r="E25" s="5">
        <f>($C$25/881)*100</f>
        <v>20.771850170261068</v>
      </c>
      <c r="F25" s="5">
        <f>($D$25/1376)*100</f>
        <v>23.328488372093023</v>
      </c>
      <c r="G25" s="5">
        <f>($M$2 * ($C$25 + $D$25)) / $N$2</f>
        <v>194.72236503856041</v>
      </c>
      <c r="H25" s="5">
        <f>($L$2 * ($C$25 + $D$25)) / $N$2</f>
        <v>309.27763496143962</v>
      </c>
      <c r="I25" s="9">
        <f>CHITEST($C$25:$D$25,$G$25:$H$25)</f>
        <v>0.28354979961505183</v>
      </c>
      <c r="J25" s="14">
        <f>SUM($C$25,$D$25)</f>
        <v>504</v>
      </c>
      <c r="K25" s="5">
        <f>($J$25/2257*100)</f>
        <v>22.330527248560035</v>
      </c>
      <c r="P25" s="15">
        <f>(($C$25 - $G$25)^2 / $G$25) + (($D$25 - $H$25)^2 / $H$25)</f>
        <v>1.1499968949514172</v>
      </c>
      <c r="Q25" s="19">
        <f>SQRT($P$25 / $J$25)</f>
        <v>4.7767560864412487E-2</v>
      </c>
      <c r="R25">
        <f t="shared" si="0"/>
        <v>0.86167420935650585</v>
      </c>
      <c r="S25">
        <f t="shared" si="1"/>
        <v>0.10469134504270121</v>
      </c>
      <c r="T25">
        <f t="shared" si="2"/>
        <v>0.7018236878400631</v>
      </c>
      <c r="U25" s="34">
        <f t="shared" si="3"/>
        <v>1.057933005019007</v>
      </c>
    </row>
    <row r="26" spans="1:21">
      <c r="A26" s="4" t="s">
        <v>301</v>
      </c>
      <c r="B26" s="30" t="s">
        <v>431</v>
      </c>
      <c r="C26">
        <v>254</v>
      </c>
      <c r="D26">
        <v>446</v>
      </c>
      <c r="E26" s="5">
        <f>($C$26/881)*100</f>
        <v>28.830874006810443</v>
      </c>
      <c r="F26" s="5">
        <f>($D$26/1376)*100</f>
        <v>32.412790697674424</v>
      </c>
      <c r="G26" s="5">
        <f>($M$2 * ($C$26 + $D$26)) / $N$2</f>
        <v>270.44772922022281</v>
      </c>
      <c r="H26" s="5">
        <f>($L$2 * ($C$26 + $D$26)) / $N$2</f>
        <v>429.55227077977719</v>
      </c>
      <c r="I26" s="9">
        <f>CHITEST($C$26:$D$26,$G$26:$H$26)</f>
        <v>0.20169112326691918</v>
      </c>
      <c r="J26" s="14">
        <f>SUM($C$26,$D$26)</f>
        <v>700</v>
      </c>
      <c r="K26" s="5">
        <f>($J$26/2257*100)</f>
        <v>31.014621178555608</v>
      </c>
      <c r="P26" s="15">
        <f>(($C$26 - $G$26)^2 / $G$26) + (($D$26 - $H$26)^2 / $H$26)</f>
        <v>1.6300862219070651</v>
      </c>
      <c r="Q26" s="19">
        <f>SQRT($P$26 / $J$26)</f>
        <v>4.8256549842735121E-2</v>
      </c>
      <c r="R26">
        <f t="shared" si="0"/>
        <v>0.84472289570236236</v>
      </c>
      <c r="S26">
        <f t="shared" si="1"/>
        <v>9.40708535590392E-2</v>
      </c>
      <c r="T26">
        <f t="shared" si="2"/>
        <v>0.70248901671709973</v>
      </c>
      <c r="U26" s="34">
        <f t="shared" si="3"/>
        <v>1.0157550560127</v>
      </c>
    </row>
    <row r="27" spans="1:21">
      <c r="A27" s="4" t="s">
        <v>302</v>
      </c>
      <c r="B27" s="30" t="s">
        <v>432</v>
      </c>
      <c r="C27">
        <v>169</v>
      </c>
      <c r="D27">
        <v>372</v>
      </c>
      <c r="E27" s="5">
        <f>($C$27/881)*100</f>
        <v>19.182746878547103</v>
      </c>
      <c r="F27" s="5">
        <f>($D$27/1376)*100</f>
        <v>27.034883720930232</v>
      </c>
      <c r="G27" s="5">
        <f>($M$2 * ($C$27 + $D$27)) / $N$2</f>
        <v>209.01745929734361</v>
      </c>
      <c r="H27" s="5">
        <f>($L$2 * ($C$27 + $D$27)) / $N$2</f>
        <v>331.98254070265637</v>
      </c>
      <c r="I27" s="9">
        <f>CHITEST($C$27:$D$27,$G$27:$H$27)</f>
        <v>4.1017000700671239E-4</v>
      </c>
      <c r="J27" s="14">
        <f>SUM($C$27,$D$27)</f>
        <v>541</v>
      </c>
      <c r="K27" s="5">
        <f>($J$27/2257*100)</f>
        <v>23.969871510855118</v>
      </c>
      <c r="P27" s="15">
        <f>(($C$27 - $G$27)^2 / $G$27) + (($D$27 - $H$27)^2 / $H$27)</f>
        <v>12.485285568625802</v>
      </c>
      <c r="Q27" s="19">
        <f>SQRT($P$27 / $J$27)</f>
        <v>0.15191498235649115</v>
      </c>
      <c r="R27">
        <f t="shared" si="0"/>
        <v>0.64061556119366914</v>
      </c>
      <c r="S27">
        <f t="shared" si="1"/>
        <v>0.10490873235628106</v>
      </c>
      <c r="T27">
        <f t="shared" si="2"/>
        <v>0.52155170334934053</v>
      </c>
      <c r="U27" s="34">
        <f t="shared" si="3"/>
        <v>0.78686023764857205</v>
      </c>
    </row>
    <row r="28" spans="1:21">
      <c r="A28" s="4" t="s">
        <v>303</v>
      </c>
      <c r="B28" s="30" t="s">
        <v>433</v>
      </c>
      <c r="C28">
        <v>84</v>
      </c>
      <c r="D28">
        <v>72</v>
      </c>
      <c r="E28" s="5">
        <f>($C$28/881)*100</f>
        <v>9.5346197502837686</v>
      </c>
      <c r="F28" s="5">
        <f>($D$28/1376)*100</f>
        <v>5.2325581395348841</v>
      </c>
      <c r="G28" s="5">
        <f>($M$2 * ($C$28 + $D$28)) / $N$2</f>
        <v>60.271208226221077</v>
      </c>
      <c r="H28" s="5">
        <f>($L$2 * ($C$28 + $D$28)) / $N$2</f>
        <v>95.728791773778923</v>
      </c>
      <c r="I28" s="9">
        <f>CHITEST($C$28:$D$28,$G$28:$H$28)</f>
        <v>9.5491792797229637E-5</v>
      </c>
      <c r="J28" s="14">
        <f>SUM($C$28,$D$28)</f>
        <v>156</v>
      </c>
      <c r="K28" s="5">
        <f>($J$28/2257*100)</f>
        <v>6.9118298626495349</v>
      </c>
      <c r="P28" s="15">
        <f>(($C$28 - $G$28)^2 / $G$28) + (($D$28 - $H$28)^2 / $H$28)</f>
        <v>15.223810653615864</v>
      </c>
      <c r="Q28" s="19">
        <f>SQRT($P$28 / $J$28)</f>
        <v>0.31239162893853434</v>
      </c>
      <c r="R28">
        <f t="shared" si="0"/>
        <v>1.9088247595148473</v>
      </c>
      <c r="S28">
        <f t="shared" si="1"/>
        <v>0.16677897680339107</v>
      </c>
      <c r="T28">
        <f t="shared" si="2"/>
        <v>1.3765783297428218</v>
      </c>
      <c r="U28" s="34">
        <f t="shared" si="3"/>
        <v>2.6468613400427632</v>
      </c>
    </row>
    <row r="29" spans="1:21">
      <c r="A29" s="3"/>
      <c r="B29" s="7"/>
      <c r="G29" s="5"/>
      <c r="H29" s="5"/>
      <c r="I29" s="9"/>
      <c r="J29" s="14"/>
      <c r="P29" s="15"/>
      <c r="Q29" s="19"/>
      <c r="U29" s="34"/>
    </row>
    <row r="30" spans="1:21">
      <c r="A30" s="2" t="s">
        <v>239</v>
      </c>
      <c r="B30" s="7"/>
      <c r="G30" s="5"/>
      <c r="H30" s="5"/>
      <c r="I30" s="9"/>
      <c r="J30" s="14"/>
      <c r="P30" s="15"/>
      <c r="Q30" s="19"/>
      <c r="U30" s="34"/>
    </row>
    <row r="31" spans="1:21">
      <c r="A31" s="1" t="s">
        <v>304</v>
      </c>
      <c r="B31" s="30" t="s">
        <v>434</v>
      </c>
      <c r="C31">
        <v>226</v>
      </c>
      <c r="D31">
        <v>431</v>
      </c>
      <c r="E31" s="5">
        <f>($C$31/881)*100</f>
        <v>25.652667423382518</v>
      </c>
      <c r="F31" s="5">
        <f>($D$31/1376)*100</f>
        <v>31.322674418604652</v>
      </c>
      <c r="G31" s="5">
        <f>($M$2 * ($C$31 + $D$31)) / $N$2</f>
        <v>253.83451156812339</v>
      </c>
      <c r="H31" s="5">
        <f>($L$2 * ($C$31 + $D$31)) / $N$2</f>
        <v>403.16548843187661</v>
      </c>
      <c r="I31" s="9">
        <f>CHITEST($C$31:$D$31,$G$31:$H$31)</f>
        <v>2.5732304562223904E-2</v>
      </c>
      <c r="J31" s="14">
        <f>SUM($C$31,$D$31)</f>
        <v>657</v>
      </c>
      <c r="K31" s="5">
        <f>($J$31/2257*100)</f>
        <v>29.109437306158618</v>
      </c>
      <c r="P31" s="15">
        <f>(($C$31 - $G$31)^2 / $G$31) + (($D$31 - $H$31)^2 / $H$31)</f>
        <v>4.9739173174775653</v>
      </c>
      <c r="Q31" s="19">
        <f>SQRT($P$31 / $J$31)</f>
        <v>8.7009484581392516E-2</v>
      </c>
      <c r="R31">
        <f t="shared" si="0"/>
        <v>0.75652220116540614</v>
      </c>
      <c r="S31">
        <f t="shared" si="1"/>
        <v>9.6591319441055895E-2</v>
      </c>
      <c r="T31">
        <f t="shared" si="2"/>
        <v>0.62603914049925236</v>
      </c>
      <c r="U31" s="34">
        <f t="shared" si="3"/>
        <v>0.91420137149848812</v>
      </c>
    </row>
    <row r="32" spans="1:21">
      <c r="A32" s="1" t="s">
        <v>305</v>
      </c>
      <c r="B32" s="30" t="s">
        <v>435</v>
      </c>
      <c r="C32">
        <v>165</v>
      </c>
      <c r="D32">
        <v>201</v>
      </c>
      <c r="E32" s="5">
        <f>($C$32/881)*100</f>
        <v>18.728717366628832</v>
      </c>
      <c r="F32" s="5">
        <f>($D$32/1376)*100</f>
        <v>14.607558139534884</v>
      </c>
      <c r="G32" s="5">
        <f>($M$2 * ($C$32 + $D$32)) / $N$2</f>
        <v>141.40552699228792</v>
      </c>
      <c r="H32" s="5">
        <f>($L$2 * ($C$32 + $D$32)) / $N$2</f>
        <v>224.59447300771208</v>
      </c>
      <c r="I32" s="9">
        <f>CHITEST($C$32:$D$32,$G$32:$H$32)</f>
        <v>1.1312311506988295E-2</v>
      </c>
      <c r="J32" s="14">
        <f>SUM($C$32,$D$32)</f>
        <v>366</v>
      </c>
      <c r="K32" s="5">
        <f>($J$32/2257*100)</f>
        <v>16.216216216216218</v>
      </c>
      <c r="P32" s="15">
        <f>(($C$32 - $G$32)^2 / $G$32) + (($D$32 - $H$32)^2 / $H$32)</f>
        <v>6.4155840557700863</v>
      </c>
      <c r="Q32" s="19">
        <f>SQRT($P$32 / $J$32)</f>
        <v>0.13239682090278515</v>
      </c>
      <c r="R32">
        <f t="shared" si="0"/>
        <v>1.3471399983323604</v>
      </c>
      <c r="S32">
        <f t="shared" si="1"/>
        <v>0.11525381691378159</v>
      </c>
      <c r="T32">
        <f t="shared" si="2"/>
        <v>1.0747481384420254</v>
      </c>
      <c r="U32" s="34">
        <f t="shared" si="3"/>
        <v>1.6885688006286379</v>
      </c>
    </row>
    <row r="33" spans="1:21">
      <c r="A33" s="1" t="s">
        <v>306</v>
      </c>
      <c r="B33" s="30" t="s">
        <v>426</v>
      </c>
      <c r="C33">
        <v>67</v>
      </c>
      <c r="D33">
        <v>71</v>
      </c>
      <c r="E33" s="5">
        <f>($C$33/881)*100</f>
        <v>7.6049943246311011</v>
      </c>
      <c r="F33" s="5">
        <f>($D$33/1376)*100</f>
        <v>5.1598837209302326</v>
      </c>
      <c r="G33" s="5">
        <f>($M$2 * ($C$33 + $D$33)) / $N$2</f>
        <v>53.316838046272494</v>
      </c>
      <c r="H33" s="5">
        <f>($L$2 * ($C$33 + $D$33)) / $N$2</f>
        <v>84.683161953727506</v>
      </c>
      <c r="I33" s="9">
        <f>CHITEST($C$33:$D$33,$G$33:$H$33)</f>
        <v>1.6748266696574275E-2</v>
      </c>
      <c r="J33" s="14">
        <f>SUM($C$33,$D$33)</f>
        <v>138</v>
      </c>
      <c r="K33" s="5">
        <f>($J$33/2257*100)</f>
        <v>6.114311032343819</v>
      </c>
      <c r="P33" s="15">
        <f>(($C$33 - $G$33)^2 / $G$33) + (($D$33 - $H$33)^2 / $H$33)</f>
        <v>5.7225628306961305</v>
      </c>
      <c r="Q33" s="19">
        <f>SQRT($P$33 / $J$33)</f>
        <v>0.20363655516445794</v>
      </c>
      <c r="R33">
        <f t="shared" si="0"/>
        <v>1.5128733086479567</v>
      </c>
      <c r="S33">
        <f t="shared" si="1"/>
        <v>0.17608141562921203</v>
      </c>
      <c r="T33">
        <f t="shared" si="2"/>
        <v>1.0713195591000584</v>
      </c>
      <c r="U33" s="34">
        <f t="shared" si="3"/>
        <v>2.1364173075884723</v>
      </c>
    </row>
    <row r="34" spans="1:21" ht="25.5">
      <c r="A34" s="4" t="s">
        <v>307</v>
      </c>
      <c r="B34" s="30" t="s">
        <v>436</v>
      </c>
      <c r="C34">
        <v>257</v>
      </c>
      <c r="D34">
        <v>353</v>
      </c>
      <c r="E34" s="5">
        <f>($C$34/881)*100</f>
        <v>29.171396140749152</v>
      </c>
      <c r="F34" s="5">
        <f>($D$34/1376)*100</f>
        <v>25.654069767441861</v>
      </c>
      <c r="G34" s="5">
        <f>($M$2 * ($C$34 + $D$34)) / $N$2</f>
        <v>235.67587832047985</v>
      </c>
      <c r="H34" s="5">
        <f>($L$2 * ($C$34 + $D$34)) / $N$2</f>
        <v>374.32412167952015</v>
      </c>
      <c r="I34" s="9">
        <f>CHITEST($C$34:$D$34,$G$34:$H$34)</f>
        <v>7.6197687167095796E-2</v>
      </c>
      <c r="J34" s="14">
        <f>SUM($C$34,$D$34)</f>
        <v>610</v>
      </c>
      <c r="K34" s="5">
        <f>($J$34/2257*100)</f>
        <v>27.027027027027028</v>
      </c>
      <c r="P34" s="15">
        <f>(($C$34 - $G$34)^2 / $G$34) + (($D$34 - $H$34)^2 / $H$34)</f>
        <v>3.1441929570453588</v>
      </c>
      <c r="Q34" s="19">
        <f>SQRT($P$34 / $J$34)</f>
        <v>7.1794252441827938E-2</v>
      </c>
      <c r="R34">
        <f t="shared" si="0"/>
        <v>1.1935743081281323</v>
      </c>
      <c r="S34">
        <f t="shared" si="1"/>
        <v>9.6457208038449635E-2</v>
      </c>
      <c r="T34">
        <f t="shared" si="2"/>
        <v>0.98796925295319482</v>
      </c>
      <c r="U34" s="34">
        <f t="shared" si="3"/>
        <v>1.4419675761822937</v>
      </c>
    </row>
    <row r="35" spans="1:21">
      <c r="A35" s="1" t="s">
        <v>308</v>
      </c>
      <c r="B35" s="30" t="s">
        <v>437</v>
      </c>
      <c r="C35">
        <v>144</v>
      </c>
      <c r="D35">
        <v>288</v>
      </c>
      <c r="E35" s="5">
        <f>($C$35/881)*100</f>
        <v>16.34506242905789</v>
      </c>
      <c r="F35" s="5">
        <f>($D$35/1376)*100</f>
        <v>20.930232558139537</v>
      </c>
      <c r="G35" s="5">
        <f>($M$2 * ($C$35 + $D$35)) / $N$2</f>
        <v>166.90488431876608</v>
      </c>
      <c r="H35" s="5">
        <f>($L$2 * ($C$35 + $D$35)) / $N$2</f>
        <v>265.09511568123395</v>
      </c>
      <c r="I35" s="9">
        <f>CHITEST($C$35:$D$35,$G$35:$H$35)</f>
        <v>2.3619620875504233E-2</v>
      </c>
      <c r="J35" s="14">
        <f>SUM($C$35,$D$35)</f>
        <v>432</v>
      </c>
      <c r="K35" s="5">
        <f>($J$35/2257*100)</f>
        <v>19.140451927337175</v>
      </c>
      <c r="P35" s="15">
        <f>(($C$35 - $G$35)^2 / $G$35) + (($D$35 - $H$35)^2 / $H$35)</f>
        <v>5.1223491801375527</v>
      </c>
      <c r="Q35" s="19">
        <f>SQRT($P$35 / $J$35)</f>
        <v>0.10889118315472988</v>
      </c>
      <c r="R35">
        <f t="shared" si="0"/>
        <v>0.73812754409769332</v>
      </c>
      <c r="S35">
        <f t="shared" si="1"/>
        <v>0.11266160134156736</v>
      </c>
      <c r="T35">
        <f t="shared" si="2"/>
        <v>0.59187762265065125</v>
      </c>
      <c r="U35" s="34">
        <f t="shared" si="3"/>
        <v>0.92051507018583967</v>
      </c>
    </row>
    <row r="36" spans="1:21">
      <c r="A36" s="1" t="s">
        <v>309</v>
      </c>
      <c r="B36" s="30" t="s">
        <v>438</v>
      </c>
      <c r="C36">
        <v>211</v>
      </c>
      <c r="D36">
        <v>413</v>
      </c>
      <c r="E36" s="5">
        <f>($C$36/881)*100</f>
        <v>23.95005675368899</v>
      </c>
      <c r="F36" s="5">
        <f>($D$36/1376)*100</f>
        <v>30.014534883720927</v>
      </c>
      <c r="G36" s="5">
        <f>($M$2 * ($C$36 + $D$36)) / $N$2</f>
        <v>241.08483290488431</v>
      </c>
      <c r="H36" s="5">
        <f>($L$2 * ($C$36 + $D$36)) / $N$2</f>
        <v>382.91516709511569</v>
      </c>
      <c r="I36" s="9">
        <f>CHITEST($C$36:$D$36,$G$36:$H$36)</f>
        <v>1.3381438873716237E-2</v>
      </c>
      <c r="J36" s="14">
        <f>SUM($C$36,$D$36)</f>
        <v>624</v>
      </c>
      <c r="K36" s="5">
        <f>($J$36/2257*100)</f>
        <v>27.64731945059814</v>
      </c>
      <c r="P36" s="15">
        <f>(($C$36 - $G$36)^2 / $G$36) + (($D$36 - $H$36)^2 / $H$36)</f>
        <v>6.1179699462257675</v>
      </c>
      <c r="Q36" s="19">
        <f>SQRT($P$36 / $J$36)</f>
        <v>9.9017367246293966E-2</v>
      </c>
      <c r="R36">
        <f t="shared" si="0"/>
        <v>0.73431751653355493</v>
      </c>
      <c r="S36">
        <f t="shared" si="1"/>
        <v>9.8445939030243207E-2</v>
      </c>
      <c r="T36">
        <f t="shared" si="2"/>
        <v>0.60545938164796254</v>
      </c>
      <c r="U36" s="34">
        <f t="shared" si="3"/>
        <v>0.89060014830446921</v>
      </c>
    </row>
    <row r="37" spans="1:21">
      <c r="A37" s="1" t="s">
        <v>310</v>
      </c>
      <c r="B37" s="30" t="s">
        <v>439</v>
      </c>
      <c r="C37">
        <v>146</v>
      </c>
      <c r="D37">
        <v>156</v>
      </c>
      <c r="E37" s="5">
        <f>($C$37/881)*100</f>
        <v>16.572077185017026</v>
      </c>
      <c r="F37" s="5">
        <f>($D$37/1376)*100</f>
        <v>11.337209302325581</v>
      </c>
      <c r="G37" s="5">
        <f>($M$2 * ($C$37 + $D$37)) / $N$2</f>
        <v>116.67887746358183</v>
      </c>
      <c r="H37" s="5">
        <f>($L$2 * ($C$37 + $D$37)) / $N$2</f>
        <v>185.32112253641816</v>
      </c>
      <c r="I37" s="9">
        <f>CHITEST($C$37:$D$37,$G$37:$H$37)</f>
        <v>5.2988168239230234E-4</v>
      </c>
      <c r="J37" s="14">
        <f>SUM($C$37,$D$37)</f>
        <v>302</v>
      </c>
      <c r="K37" s="5">
        <f>($J$37/2257*100)</f>
        <v>13.380593708462559</v>
      </c>
      <c r="P37" s="15">
        <f>(($C$37 - $G$37)^2 / $G$37) + (($D$37 - $H$37)^2 / $H$37)</f>
        <v>12.007454907590322</v>
      </c>
      <c r="Q37" s="19">
        <f>SQRT($P$37 / $J$37)</f>
        <v>0.19939855682080451</v>
      </c>
      <c r="R37">
        <f t="shared" si="0"/>
        <v>1.5534624106052679</v>
      </c>
      <c r="S37">
        <f t="shared" si="1"/>
        <v>0.12425694277417329</v>
      </c>
      <c r="T37">
        <f t="shared" si="2"/>
        <v>1.2176741991648226</v>
      </c>
      <c r="U37" s="34">
        <f t="shared" si="3"/>
        <v>1.981848233968269</v>
      </c>
    </row>
    <row r="38" spans="1:21">
      <c r="A38" s="1" t="s">
        <v>311</v>
      </c>
      <c r="B38" s="30" t="s">
        <v>440</v>
      </c>
      <c r="C38">
        <v>56</v>
      </c>
      <c r="D38">
        <v>24</v>
      </c>
      <c r="E38" s="5">
        <f>($C$38/881)*100</f>
        <v>6.3564131668558455</v>
      </c>
      <c r="F38" s="5">
        <f>($D$38/1376)*100</f>
        <v>1.7441860465116279</v>
      </c>
      <c r="G38" s="5">
        <f>($M$2 * ($C$38 + $D$38)) / $N$2</f>
        <v>30.908311910882606</v>
      </c>
      <c r="H38" s="5">
        <f>($L$2 * ($C$38 + $D$38)) / $N$2</f>
        <v>49.091688089117397</v>
      </c>
      <c r="I38" s="9">
        <f>CHITEST($C$38:$D$38,$G$38:$H$38)</f>
        <v>8.3384861865729423E-9</v>
      </c>
      <c r="J38" s="14">
        <f>SUM($C$38,$D$38)</f>
        <v>80</v>
      </c>
      <c r="K38" s="5">
        <f>($J$38/2257*100)</f>
        <v>3.5445281346920687</v>
      </c>
      <c r="P38" s="15">
        <f>(($C$38 - $G$38)^2 / $G$38) + (($D$38 - $H$38)^2 / $H$38)</f>
        <v>33.194527794837363</v>
      </c>
      <c r="Q38" s="19">
        <f>SQRT($P$38 / $J$38)</f>
        <v>0.64415184346197984</v>
      </c>
      <c r="R38">
        <f t="shared" si="0"/>
        <v>3.823838383838384</v>
      </c>
      <c r="S38">
        <f t="shared" si="1"/>
        <v>0.24794268633364633</v>
      </c>
      <c r="T38">
        <f t="shared" si="2"/>
        <v>2.3520494757931765</v>
      </c>
      <c r="U38" s="34">
        <f t="shared" si="3"/>
        <v>6.2165954144246429</v>
      </c>
    </row>
    <row r="39" spans="1:21">
      <c r="A39" s="1" t="s">
        <v>312</v>
      </c>
      <c r="B39" s="30" t="s">
        <v>441</v>
      </c>
      <c r="C39">
        <v>118</v>
      </c>
      <c r="D39">
        <v>149</v>
      </c>
      <c r="E39" s="5">
        <f>($C$39/881)*100</f>
        <v>13.393870601589104</v>
      </c>
      <c r="F39" s="5">
        <f>($D$39/1376)*100</f>
        <v>10.828488372093023</v>
      </c>
      <c r="G39" s="5">
        <f>($M$2 * ($C$39 + $D$39)) / $N$2</f>
        <v>103.15649100257069</v>
      </c>
      <c r="H39" s="5">
        <f>($L$2 * ($C$39 + $D$39)) / $N$2</f>
        <v>163.8435089974293</v>
      </c>
      <c r="I39" s="9">
        <f>CHITEST($C$39:$D$39,$G$39:$H$39)</f>
        <v>6.2090867949628308E-2</v>
      </c>
      <c r="J39" s="14">
        <f>SUM($C$39,$D$39)</f>
        <v>267</v>
      </c>
      <c r="K39" s="5">
        <f>($J$39/2257*100)</f>
        <v>11.82986264953478</v>
      </c>
      <c r="P39" s="15">
        <f>(($C$39 - $G$39)^2 / $G$39) + (($D$39 - $H$39)^2 / $H$39)</f>
        <v>3.4806361002164654</v>
      </c>
      <c r="Q39" s="19">
        <f>SQRT($P$39 / $J$39)</f>
        <v>0.11417569909128218</v>
      </c>
      <c r="R39">
        <f t="shared" si="0"/>
        <v>1.2735493064290553</v>
      </c>
      <c r="S39">
        <f t="shared" si="1"/>
        <v>0.13157354438372115</v>
      </c>
      <c r="T39">
        <f t="shared" si="2"/>
        <v>0.98405212079462501</v>
      </c>
      <c r="U39" s="34">
        <f t="shared" si="3"/>
        <v>1.6482133432080979</v>
      </c>
    </row>
    <row r="40" spans="1:21">
      <c r="A40" s="1"/>
      <c r="B40" s="7"/>
      <c r="G40" s="5"/>
      <c r="H40" s="5"/>
      <c r="I40" s="9"/>
      <c r="J40" s="14"/>
      <c r="P40" s="15"/>
      <c r="Q40" s="19"/>
      <c r="U40" s="34"/>
    </row>
    <row r="41" spans="1:21">
      <c r="A41" s="2" t="s">
        <v>240</v>
      </c>
      <c r="B41" s="7"/>
      <c r="G41" s="5"/>
      <c r="H41" s="5"/>
      <c r="I41" s="9"/>
      <c r="J41" s="14"/>
      <c r="P41" s="15"/>
      <c r="Q41" s="19"/>
      <c r="U41" s="34"/>
    </row>
    <row r="42" spans="1:21">
      <c r="A42" s="7" t="s">
        <v>313</v>
      </c>
      <c r="B42" s="30" t="s">
        <v>427</v>
      </c>
      <c r="C42">
        <v>380</v>
      </c>
      <c r="D42">
        <v>725</v>
      </c>
      <c r="E42" s="5">
        <f>($C$42/881)*100</f>
        <v>43.132803632236097</v>
      </c>
      <c r="F42" s="5">
        <f>($D$42/1376)*100</f>
        <v>52.688953488372093</v>
      </c>
      <c r="G42" s="5">
        <f>($M$2 * ($C$42 + $D$42)) / $N$2</f>
        <v>426.92105826906601</v>
      </c>
      <c r="H42" s="5">
        <f>($L$2 * ($C$42 + $D$42)) / $N$2</f>
        <v>678.07894173093405</v>
      </c>
      <c r="I42" s="9">
        <f>CHITEST($C$42:$D$42,$G$42:$H$42)</f>
        <v>3.7446006841351429E-3</v>
      </c>
      <c r="J42" s="14">
        <f>SUM($C$42,$D$42)</f>
        <v>1105</v>
      </c>
      <c r="K42" s="5">
        <f>($J$42/2257*100)</f>
        <v>48.95879486043421</v>
      </c>
      <c r="P42" s="15">
        <f>(($C$42 - $G$42)^2 / $G$42) + (($D$42 - $H$42)^2 / $H$42)</f>
        <v>8.4036903372667808</v>
      </c>
      <c r="Q42" s="19">
        <f>SQRT($P$42 / $J$42)</f>
        <v>8.7207509002870706E-2</v>
      </c>
      <c r="R42">
        <f t="shared" si="0"/>
        <v>0.68106545529630391</v>
      </c>
      <c r="S42">
        <f t="shared" si="1"/>
        <v>8.6850420761904218E-2</v>
      </c>
      <c r="T42">
        <f t="shared" si="2"/>
        <v>0.57446064579391809</v>
      </c>
      <c r="U42" s="34">
        <f t="shared" si="3"/>
        <v>0.80745331781067442</v>
      </c>
    </row>
    <row r="43" spans="1:21">
      <c r="A43" s="1" t="s">
        <v>314</v>
      </c>
      <c r="B43" s="30" t="s">
        <v>521</v>
      </c>
      <c r="C43">
        <v>323</v>
      </c>
      <c r="D43">
        <v>588</v>
      </c>
      <c r="E43" s="5">
        <f>($C$43/881)*100</f>
        <v>36.662883087400679</v>
      </c>
      <c r="F43" s="5">
        <f>($D$43/1376)*100</f>
        <v>42.732558139534881</v>
      </c>
      <c r="G43" s="5">
        <f>($M$2 * ($C$43 + $D$43)) / $N$2</f>
        <v>351.96840188517564</v>
      </c>
      <c r="H43" s="5">
        <f>($L$2 * ($C$43 + $D$43)) / $N$2</f>
        <v>559.03159811482431</v>
      </c>
      <c r="I43" s="9">
        <f>CHITEST($C$43:$D$43,$G$43:$H$43)</f>
        <v>4.8709817021236716E-2</v>
      </c>
      <c r="J43" s="14">
        <f>SUM($C$43,$D$43)</f>
        <v>911</v>
      </c>
      <c r="K43" s="5">
        <f>($J$43/2257*100)</f>
        <v>40.363314133805936</v>
      </c>
      <c r="P43" s="15">
        <f>(($C$43 - $G$43)^2 / $G$43) + (($D$43 - $H$43)^2 / $H$43)</f>
        <v>3.8853255887307308</v>
      </c>
      <c r="Q43" s="19">
        <f>SQRT($P$43 / $J$43)</f>
        <v>6.5306216041897652E-2</v>
      </c>
      <c r="R43">
        <f t="shared" si="0"/>
        <v>0.77574183795381946</v>
      </c>
      <c r="S43">
        <f t="shared" si="1"/>
        <v>8.8644265086030308E-2</v>
      </c>
      <c r="T43">
        <f t="shared" si="2"/>
        <v>0.65202116445092573</v>
      </c>
      <c r="U43" s="34">
        <f t="shared" si="3"/>
        <v>0.92293844427386285</v>
      </c>
    </row>
    <row r="44" spans="1:21">
      <c r="A44" s="1" t="s">
        <v>315</v>
      </c>
      <c r="B44" s="30" t="s">
        <v>522</v>
      </c>
      <c r="C44">
        <v>283</v>
      </c>
      <c r="D44">
        <v>588</v>
      </c>
      <c r="E44" s="5">
        <f>($C$44/881)*100</f>
        <v>32.122587968217935</v>
      </c>
      <c r="F44" s="5">
        <f>($D$44/1376)*100</f>
        <v>42.732558139534881</v>
      </c>
      <c r="G44" s="5">
        <f>($M$2 * ($C$44 + $D$44)) / $N$2</f>
        <v>336.51424592973439</v>
      </c>
      <c r="H44" s="5">
        <f>($L$2 * ($C$44 + $D$44)) / $N$2</f>
        <v>534.48575407026567</v>
      </c>
      <c r="I44" s="9">
        <f>CHITEST($C$44:$D$44,$G$44:$H$44)</f>
        <v>1.9609744834564547E-4</v>
      </c>
      <c r="J44" s="14">
        <f>SUM($C$44,$D$44)</f>
        <v>871</v>
      </c>
      <c r="K44" s="5">
        <f>($J$44/2257*100)</f>
        <v>38.5910500664599</v>
      </c>
      <c r="P44" s="15">
        <f>(($C$44 - $G$44)^2 / $G$44) + (($D$44 - $H$44)^2 / $H$44)</f>
        <v>13.868113482006905</v>
      </c>
      <c r="Q44" s="19">
        <f>SQRT($P$44 / $J$44)</f>
        <v>0.12618264186005043</v>
      </c>
      <c r="R44">
        <f t="shared" si="0"/>
        <v>0.63421154414943237</v>
      </c>
      <c r="S44">
        <f t="shared" si="1"/>
        <v>9.0418612643487245E-2</v>
      </c>
      <c r="T44">
        <f t="shared" si="2"/>
        <v>0.53121247574531294</v>
      </c>
      <c r="U44" s="34">
        <f t="shared" si="3"/>
        <v>0.75718154429274309</v>
      </c>
    </row>
    <row r="45" spans="1:21">
      <c r="A45" s="4" t="s">
        <v>316</v>
      </c>
      <c r="B45" s="30" t="s">
        <v>523</v>
      </c>
      <c r="C45">
        <v>229</v>
      </c>
      <c r="D45">
        <v>457</v>
      </c>
      <c r="E45" s="5">
        <f>($C$45/881)*100</f>
        <v>25.993189557321227</v>
      </c>
      <c r="F45" s="5">
        <f>($D$45/1376)*100</f>
        <v>33.212209302325576</v>
      </c>
      <c r="G45" s="5">
        <f>($M$2 * ($C$45 + $D$45)) / $N$2</f>
        <v>265.03877463581836</v>
      </c>
      <c r="H45" s="5">
        <f>($L$2 * ($C$45 + $D$45)) / $N$2</f>
        <v>420.96122536418164</v>
      </c>
      <c r="I45" s="9">
        <f>CHITEST($C$45:$D$45,$G$45:$H$45)</f>
        <v>4.7148431155562068E-3</v>
      </c>
      <c r="J45" s="14">
        <f>SUM($C$45,$D$45)</f>
        <v>686</v>
      </c>
      <c r="K45" s="5">
        <f>($J$45/2257*100)</f>
        <v>30.394328754984496</v>
      </c>
      <c r="P45" s="15">
        <f>(($C$45 - $G$45)^2 / $G$45) + (($D$45 - $H$45)^2 / $H$45)</f>
        <v>7.9856935059642566</v>
      </c>
      <c r="Q45" s="19">
        <f>SQRT($P$45 / $J$45)</f>
        <v>0.10789324646427578</v>
      </c>
      <c r="R45">
        <f t="shared" si="0"/>
        <v>0.70629673383361757</v>
      </c>
      <c r="S45">
        <f t="shared" si="1"/>
        <v>9.5796021042789017E-2</v>
      </c>
      <c r="T45">
        <f t="shared" si="2"/>
        <v>0.58538821986234579</v>
      </c>
      <c r="U45" s="34">
        <f t="shared" si="3"/>
        <v>0.85217819439779963</v>
      </c>
    </row>
    <row r="46" spans="1:21">
      <c r="A46" s="4" t="s">
        <v>317</v>
      </c>
      <c r="B46" s="30" t="s">
        <v>524</v>
      </c>
      <c r="C46">
        <v>257</v>
      </c>
      <c r="D46">
        <v>610</v>
      </c>
      <c r="E46" s="5">
        <f>($C$46/881)*100</f>
        <v>29.171396140749152</v>
      </c>
      <c r="F46" s="5">
        <f>($D$46/1376)*100</f>
        <v>44.331395348837212</v>
      </c>
      <c r="G46" s="5">
        <f>($M$2 * ($C$46 + $D$46)) / $N$2</f>
        <v>334.96883033419022</v>
      </c>
      <c r="H46" s="5">
        <f>($L$2 * ($C$46 + $D$46)) / $N$2</f>
        <v>532.03116966580978</v>
      </c>
      <c r="I46" s="9">
        <f>CHITEST($C$46:$D$46,$G$46:$H$46)</f>
        <v>5.3803935853966057E-8</v>
      </c>
      <c r="J46" s="14">
        <f>SUM($C$46,$D$46)</f>
        <v>867</v>
      </c>
      <c r="K46" s="5">
        <f>($J$46/2257*100)</f>
        <v>38.413823659725296</v>
      </c>
      <c r="P46" s="15">
        <f>(($C$46 - $G$46)^2 / $G$46) + (($D$46 - $H$46)^2 / $H$46)</f>
        <v>29.574653306817915</v>
      </c>
      <c r="Q46" s="19">
        <f>SQRT($P$46 / $J$46)</f>
        <v>0.18469293481164933</v>
      </c>
      <c r="R46">
        <f t="shared" si="0"/>
        <v>0.51718684321143338</v>
      </c>
      <c r="S46">
        <f t="shared" si="1"/>
        <v>9.1860992685891429E-2</v>
      </c>
      <c r="T46">
        <f t="shared" si="2"/>
        <v>0.43197022506875171</v>
      </c>
      <c r="U46" s="34">
        <f t="shared" si="3"/>
        <v>0.61921450893620211</v>
      </c>
    </row>
    <row r="47" spans="1:21">
      <c r="A47" s="1"/>
      <c r="G47" s="5"/>
      <c r="H47" s="5"/>
      <c r="I47" s="9"/>
    </row>
    <row r="48" spans="1:21">
      <c r="A48" s="1"/>
      <c r="G48" s="5"/>
      <c r="H48" s="5"/>
      <c r="I48" s="9"/>
    </row>
    <row r="49" spans="1:11">
      <c r="A49" s="1"/>
      <c r="G49" s="5"/>
      <c r="H49" s="5"/>
      <c r="I49" s="9"/>
    </row>
    <row r="50" spans="1:11">
      <c r="A50" s="1"/>
      <c r="G50" s="5"/>
      <c r="H50" s="5"/>
      <c r="I50" s="9"/>
    </row>
    <row r="51" spans="1:11">
      <c r="G51" s="5"/>
      <c r="H51" s="5"/>
      <c r="I51" s="9"/>
    </row>
    <row r="52" spans="1:11">
      <c r="A52" s="2"/>
      <c r="G52" s="5"/>
      <c r="H52" s="5"/>
      <c r="I52" s="9"/>
    </row>
    <row r="53" spans="1:11">
      <c r="A53" s="1"/>
      <c r="G53" s="5"/>
      <c r="H53" s="5"/>
      <c r="I53" s="9"/>
    </row>
    <row r="54" spans="1:11">
      <c r="A54" s="1"/>
      <c r="G54" s="5"/>
      <c r="H54" s="5"/>
      <c r="I54" s="9"/>
    </row>
    <row r="55" spans="1:11">
      <c r="A55" s="1"/>
      <c r="G55" s="5"/>
      <c r="H55" s="5"/>
      <c r="I55" s="9"/>
    </row>
    <row r="56" spans="1:11">
      <c r="A56" s="1"/>
      <c r="G56" s="5"/>
      <c r="H56" s="5"/>
      <c r="I56" s="9"/>
    </row>
    <row r="57" spans="1:11">
      <c r="A57" s="4"/>
      <c r="G57" s="5"/>
      <c r="H57" s="5"/>
      <c r="I57" s="9"/>
    </row>
    <row r="58" spans="1:11">
      <c r="A58" s="3"/>
      <c r="G58" s="5"/>
      <c r="H58" s="5"/>
      <c r="I58" s="9"/>
    </row>
    <row r="59" spans="1:11" s="7" customFormat="1">
      <c r="A59" s="3"/>
      <c r="E59" s="8"/>
      <c r="F59" s="8"/>
      <c r="G59" s="8"/>
      <c r="H59" s="8"/>
      <c r="I59" s="9"/>
      <c r="K59" s="8"/>
    </row>
    <row r="60" spans="1:11">
      <c r="A60" s="4"/>
      <c r="G60" s="5"/>
      <c r="H60" s="5"/>
      <c r="I60" s="9"/>
    </row>
    <row r="61" spans="1:11">
      <c r="A61" s="1"/>
      <c r="G61" s="5"/>
      <c r="H61" s="5"/>
      <c r="I61" s="9"/>
    </row>
    <row r="62" spans="1:11">
      <c r="A62" s="6"/>
      <c r="G62" s="5"/>
      <c r="H62" s="5"/>
      <c r="I62" s="9"/>
    </row>
    <row r="63" spans="1:11">
      <c r="A63" s="1"/>
      <c r="G63" s="5"/>
      <c r="H63" s="5"/>
      <c r="I63" s="9"/>
    </row>
    <row r="64" spans="1:11">
      <c r="A64" s="1"/>
      <c r="G64" s="5"/>
      <c r="H64" s="5"/>
      <c r="I64" s="9"/>
    </row>
    <row r="65" spans="1:9">
      <c r="A65" s="3"/>
      <c r="G65" s="5"/>
      <c r="H65" s="5"/>
      <c r="I65" s="9"/>
    </row>
    <row r="66" spans="1:9">
      <c r="A66" s="3"/>
      <c r="G66" s="5"/>
      <c r="H66" s="5"/>
      <c r="I66" s="9"/>
    </row>
    <row r="67" spans="1:9">
      <c r="A67" s="1"/>
      <c r="G67" s="5"/>
      <c r="H67" s="5"/>
      <c r="I67" s="9"/>
    </row>
    <row r="68" spans="1:9">
      <c r="A68" s="1"/>
      <c r="G68" s="5"/>
      <c r="H68" s="5"/>
      <c r="I68" s="9"/>
    </row>
    <row r="69" spans="1:9">
      <c r="A69" s="1"/>
      <c r="G69" s="5"/>
      <c r="H69" s="5"/>
      <c r="I69" s="9"/>
    </row>
    <row r="70" spans="1:9">
      <c r="G70" s="5"/>
      <c r="H70" s="5"/>
      <c r="I70" s="9"/>
    </row>
    <row r="71" spans="1:9">
      <c r="A71" s="2"/>
      <c r="G71" s="5"/>
      <c r="H71" s="5"/>
      <c r="I71" s="9"/>
    </row>
    <row r="72" spans="1:9">
      <c r="A72" s="1"/>
      <c r="G72" s="5"/>
      <c r="H72" s="5"/>
      <c r="I72" s="9"/>
    </row>
    <row r="73" spans="1:9">
      <c r="A73" s="1"/>
      <c r="G73" s="5"/>
      <c r="H73" s="5"/>
      <c r="I73" s="9"/>
    </row>
    <row r="74" spans="1:9">
      <c r="A74" s="1"/>
      <c r="G74" s="5"/>
      <c r="H74" s="5"/>
      <c r="I74" s="9"/>
    </row>
    <row r="75" spans="1:9">
      <c r="A75" s="1"/>
      <c r="G75" s="5"/>
      <c r="H75" s="5"/>
      <c r="I75" s="9"/>
    </row>
    <row r="76" spans="1:9">
      <c r="A76" s="1"/>
      <c r="G76" s="5"/>
      <c r="H76" s="5"/>
      <c r="I76" s="9"/>
    </row>
    <row r="77" spans="1:9">
      <c r="A77" s="1"/>
      <c r="G77" s="5"/>
      <c r="H77" s="5"/>
      <c r="I77" s="9"/>
    </row>
    <row r="78" spans="1:9">
      <c r="G78" s="5"/>
      <c r="H78" s="5"/>
      <c r="I78" s="9"/>
    </row>
    <row r="79" spans="1:9">
      <c r="A79" s="2"/>
      <c r="G79" s="5"/>
      <c r="H79" s="5"/>
      <c r="I79" s="9"/>
    </row>
    <row r="80" spans="1:9">
      <c r="A80" s="1"/>
      <c r="G80" s="5"/>
      <c r="H80" s="5"/>
      <c r="I80" s="9"/>
    </row>
    <row r="81" spans="1:9">
      <c r="A81" s="1"/>
      <c r="G81" s="5"/>
      <c r="H81" s="5"/>
      <c r="I81" s="9"/>
    </row>
    <row r="82" spans="1:9">
      <c r="A82" s="1"/>
      <c r="G82" s="5"/>
      <c r="H82" s="5"/>
      <c r="I82" s="9"/>
    </row>
    <row r="83" spans="1:9">
      <c r="A83" s="1"/>
      <c r="G83" s="5"/>
      <c r="H83" s="5"/>
      <c r="I83" s="9"/>
    </row>
    <row r="84" spans="1:9">
      <c r="A84" s="1"/>
      <c r="G84" s="5"/>
      <c r="H84" s="5"/>
      <c r="I84" s="9"/>
    </row>
    <row r="85" spans="1:9">
      <c r="A85" s="1"/>
      <c r="G85" s="5"/>
      <c r="H85" s="5"/>
      <c r="I85" s="9"/>
    </row>
    <row r="86" spans="1:9">
      <c r="G86" s="5"/>
      <c r="H86" s="5"/>
      <c r="I86" s="9"/>
    </row>
    <row r="87" spans="1:9">
      <c r="A87" s="2"/>
      <c r="G87" s="5"/>
      <c r="H87" s="5"/>
      <c r="I87" s="9"/>
    </row>
    <row r="88" spans="1:9">
      <c r="A88" s="4"/>
      <c r="G88" s="5"/>
      <c r="H88" s="5"/>
      <c r="I88" s="9"/>
    </row>
    <row r="89" spans="1:9">
      <c r="A89" s="4"/>
      <c r="G89" s="5"/>
      <c r="H89" s="5"/>
      <c r="I89" s="9"/>
    </row>
    <row r="90" spans="1:9">
      <c r="A90" s="1"/>
      <c r="G90" s="5"/>
      <c r="H90" s="5"/>
      <c r="I90" s="9"/>
    </row>
    <row r="91" spans="1:9">
      <c r="A91" s="1"/>
      <c r="G91" s="5"/>
      <c r="H91" s="5"/>
      <c r="I91" s="9"/>
    </row>
    <row r="92" spans="1:9">
      <c r="G92" s="5"/>
      <c r="H92" s="5"/>
      <c r="I92" s="9"/>
    </row>
    <row r="93" spans="1:9">
      <c r="A93" s="2"/>
      <c r="G93" s="5"/>
      <c r="H93" s="5"/>
      <c r="I93" s="9"/>
    </row>
    <row r="94" spans="1:9">
      <c r="A94" s="1"/>
      <c r="G94" s="5"/>
      <c r="H94" s="5"/>
      <c r="I94" s="9"/>
    </row>
    <row r="95" spans="1:9">
      <c r="A95" s="1"/>
      <c r="G95" s="5"/>
      <c r="H95" s="5"/>
      <c r="I95" s="9"/>
    </row>
    <row r="96" spans="1:9">
      <c r="A96" s="1"/>
      <c r="G96" s="5"/>
      <c r="H96" s="5"/>
      <c r="I96" s="9"/>
    </row>
    <row r="97" spans="1:9">
      <c r="A97" s="1"/>
      <c r="G97" s="5"/>
      <c r="H97" s="5"/>
      <c r="I97" s="9"/>
    </row>
    <row r="98" spans="1:9">
      <c r="A98" s="1"/>
      <c r="G98" s="5"/>
      <c r="H98" s="5"/>
      <c r="I98" s="9"/>
    </row>
    <row r="99" spans="1:9">
      <c r="A99" s="2"/>
      <c r="G99" s="5"/>
      <c r="H99" s="5"/>
      <c r="I99" s="9"/>
    </row>
    <row r="100" spans="1:9">
      <c r="A100" s="1"/>
      <c r="G100" s="5"/>
      <c r="H100" s="5"/>
      <c r="I100" s="9"/>
    </row>
    <row r="101" spans="1:9">
      <c r="A101" s="1"/>
      <c r="G101" s="5"/>
      <c r="H101" s="5"/>
      <c r="I101" s="9"/>
    </row>
    <row r="102" spans="1:9">
      <c r="A102" s="1"/>
      <c r="G102" s="5"/>
      <c r="H102" s="5"/>
      <c r="I102" s="9"/>
    </row>
    <row r="103" spans="1:9">
      <c r="A103" s="1"/>
      <c r="G103" s="5"/>
      <c r="H103" s="5"/>
      <c r="I103" s="9"/>
    </row>
    <row r="104" spans="1:9">
      <c r="G104" s="5"/>
      <c r="H104" s="5"/>
      <c r="I104" s="9"/>
    </row>
    <row r="105" spans="1:9">
      <c r="A105" s="2"/>
      <c r="G105" s="5"/>
      <c r="H105" s="5"/>
      <c r="I105" s="9"/>
    </row>
    <row r="106" spans="1:9">
      <c r="A106" s="1"/>
      <c r="G106" s="5"/>
      <c r="H106" s="5"/>
      <c r="I106" s="9"/>
    </row>
    <row r="107" spans="1:9">
      <c r="A107" s="4"/>
      <c r="G107" s="5"/>
      <c r="H107" s="5"/>
      <c r="I107" s="9"/>
    </row>
    <row r="108" spans="1:9">
      <c r="A108" s="1"/>
      <c r="G108" s="5"/>
      <c r="H108" s="5"/>
      <c r="I108" s="9"/>
    </row>
    <row r="109" spans="1:9">
      <c r="A109" s="4"/>
      <c r="G109" s="5"/>
      <c r="H109" s="5"/>
      <c r="I109" s="9"/>
    </row>
    <row r="110" spans="1:9">
      <c r="A110" s="1"/>
      <c r="G110" s="5"/>
      <c r="H110" s="5"/>
      <c r="I110" s="9"/>
    </row>
    <row r="111" spans="1:9">
      <c r="A111" s="1"/>
      <c r="G111" s="5"/>
      <c r="H111" s="5"/>
      <c r="I111" s="9"/>
    </row>
    <row r="112" spans="1:9">
      <c r="G112" s="5"/>
      <c r="H112" s="5"/>
      <c r="I112" s="9"/>
    </row>
    <row r="113" spans="1:9">
      <c r="A113" s="2"/>
      <c r="G113" s="5"/>
      <c r="H113" s="5"/>
      <c r="I113" s="9"/>
    </row>
    <row r="114" spans="1:9">
      <c r="A114" s="1"/>
      <c r="G114" s="5"/>
      <c r="H114" s="5"/>
      <c r="I114" s="9"/>
    </row>
    <row r="115" spans="1:9">
      <c r="A115" s="1"/>
      <c r="G115" s="5"/>
      <c r="H115" s="5"/>
      <c r="I115" s="9"/>
    </row>
    <row r="116" spans="1:9">
      <c r="A116" s="1"/>
      <c r="G116" s="5"/>
      <c r="H116" s="5"/>
      <c r="I116" s="9"/>
    </row>
    <row r="117" spans="1:9">
      <c r="A117" s="1"/>
      <c r="G117" s="5"/>
      <c r="H117" s="5"/>
      <c r="I117" s="9"/>
    </row>
    <row r="118" spans="1:9">
      <c r="A118" s="1"/>
      <c r="G118" s="5"/>
      <c r="H118" s="5"/>
      <c r="I118" s="9"/>
    </row>
    <row r="119" spans="1:9">
      <c r="A119" s="1"/>
      <c r="G119" s="5"/>
      <c r="H119" s="5"/>
      <c r="I119" s="9"/>
    </row>
    <row r="120" spans="1:9">
      <c r="G120" s="5"/>
      <c r="H120" s="5"/>
      <c r="I120" s="9"/>
    </row>
    <row r="121" spans="1:9">
      <c r="A121" s="2"/>
      <c r="G121" s="5"/>
      <c r="H121" s="5"/>
      <c r="I121" s="9"/>
    </row>
    <row r="122" spans="1:9">
      <c r="A122" s="1"/>
      <c r="G122" s="5"/>
      <c r="H122" s="5"/>
      <c r="I122" s="9"/>
    </row>
    <row r="123" spans="1:9">
      <c r="A123" s="1"/>
      <c r="G123" s="5"/>
      <c r="H123" s="5"/>
      <c r="I123" s="9"/>
    </row>
    <row r="124" spans="1:9">
      <c r="A124" s="1"/>
      <c r="G124" s="5"/>
      <c r="H124" s="5"/>
      <c r="I124" s="9"/>
    </row>
    <row r="125" spans="1:9">
      <c r="A125" s="1"/>
      <c r="G125" s="5"/>
      <c r="H125" s="5"/>
      <c r="I125" s="9"/>
    </row>
    <row r="126" spans="1:9">
      <c r="A126" s="1"/>
      <c r="G126" s="5"/>
      <c r="H126" s="5"/>
      <c r="I126" s="9"/>
    </row>
    <row r="127" spans="1:9">
      <c r="G127" s="5"/>
      <c r="H127" s="5"/>
      <c r="I127" s="9"/>
    </row>
    <row r="128" spans="1:9">
      <c r="A128" s="2"/>
      <c r="G128" s="5"/>
      <c r="H128" s="5"/>
      <c r="I128" s="9"/>
    </row>
    <row r="129" spans="1:9">
      <c r="A129" s="1"/>
      <c r="G129" s="5"/>
      <c r="H129" s="5"/>
      <c r="I129" s="9"/>
    </row>
    <row r="130" spans="1:9">
      <c r="A130" s="1"/>
      <c r="G130" s="5"/>
      <c r="H130" s="5"/>
      <c r="I130" s="9"/>
    </row>
    <row r="131" spans="1:9">
      <c r="A131" s="1"/>
      <c r="G131" s="5"/>
      <c r="H131" s="5"/>
      <c r="I131" s="9"/>
    </row>
    <row r="132" spans="1:9">
      <c r="A132" s="1"/>
      <c r="G132" s="5"/>
      <c r="H132" s="5"/>
      <c r="I132" s="9"/>
    </row>
    <row r="133" spans="1:9">
      <c r="A133" s="1"/>
      <c r="G133" s="5"/>
      <c r="H133" s="5"/>
      <c r="I133" s="9"/>
    </row>
    <row r="134" spans="1:9">
      <c r="A134" s="1"/>
      <c r="G134" s="5"/>
      <c r="H134" s="5"/>
      <c r="I134" s="9"/>
    </row>
    <row r="135" spans="1:9">
      <c r="A135" s="1"/>
      <c r="G135" s="5"/>
      <c r="H135" s="5"/>
      <c r="I135" s="9"/>
    </row>
    <row r="136" spans="1:9">
      <c r="A136" s="2"/>
      <c r="G136" s="5"/>
      <c r="H136" s="5"/>
      <c r="I136" s="9"/>
    </row>
    <row r="137" spans="1:9">
      <c r="A137" s="1"/>
      <c r="G137" s="5"/>
      <c r="H137" s="5"/>
      <c r="I137" s="9"/>
    </row>
    <row r="138" spans="1:9">
      <c r="A138" s="4"/>
      <c r="G138" s="5"/>
      <c r="H138" s="5"/>
      <c r="I138" s="9"/>
    </row>
    <row r="139" spans="1:9">
      <c r="A139" s="4"/>
      <c r="G139" s="5"/>
      <c r="H139" s="5"/>
      <c r="I139" s="9"/>
    </row>
    <row r="140" spans="1:9">
      <c r="A140" s="1"/>
      <c r="G140" s="5"/>
      <c r="H140" s="5"/>
      <c r="I140" s="9"/>
    </row>
    <row r="141" spans="1:9">
      <c r="A141" s="1"/>
      <c r="G141" s="5"/>
      <c r="H141" s="5"/>
      <c r="I141" s="9"/>
    </row>
    <row r="142" spans="1:9">
      <c r="G142" s="5"/>
      <c r="H142" s="5"/>
      <c r="I142" s="9"/>
    </row>
    <row r="143" spans="1:9">
      <c r="G143" s="5"/>
      <c r="H143" s="5"/>
      <c r="I143" s="9"/>
    </row>
    <row r="144" spans="1:9">
      <c r="G144" s="5"/>
      <c r="H144" s="5"/>
      <c r="I144" s="9"/>
    </row>
    <row r="145" spans="7:17">
      <c r="G145" s="5"/>
      <c r="H145" s="5"/>
      <c r="I145" s="9"/>
    </row>
    <row r="146" spans="7:17">
      <c r="G146" s="5"/>
      <c r="H146" s="5"/>
      <c r="I146" s="9"/>
    </row>
    <row r="147" spans="7:17">
      <c r="G147" s="5"/>
      <c r="H147" s="5"/>
      <c r="I147" s="9"/>
    </row>
    <row r="148" spans="7:17">
      <c r="G148" s="5"/>
      <c r="H148" s="5"/>
      <c r="I148" s="9"/>
    </row>
    <row r="149" spans="7:17">
      <c r="G149" s="5"/>
      <c r="H149" s="5"/>
      <c r="I149" s="9"/>
    </row>
    <row r="150" spans="7:17">
      <c r="G150" s="5"/>
      <c r="H150" s="5"/>
      <c r="I150" s="9"/>
    </row>
    <row r="151" spans="7:17">
      <c r="G151" s="5"/>
      <c r="H151" s="5"/>
      <c r="I151" s="9"/>
    </row>
    <row r="152" spans="7:17">
      <c r="G152" s="5"/>
      <c r="H152" s="5"/>
      <c r="I152" s="9"/>
    </row>
    <row r="153" spans="7:17">
      <c r="G153" s="5"/>
      <c r="H153" s="5"/>
      <c r="I153" s="9"/>
    </row>
    <row r="154" spans="7:17">
      <c r="G154" s="5"/>
      <c r="H154" s="5"/>
      <c r="I154" s="9"/>
    </row>
    <row r="155" spans="7:17">
      <c r="G155" s="5"/>
      <c r="H155" s="5"/>
      <c r="I155" s="9"/>
    </row>
    <row r="156" spans="7:17">
      <c r="G156" s="5"/>
      <c r="H156" s="5"/>
      <c r="I156" s="9"/>
      <c r="Q156"/>
    </row>
    <row r="157" spans="7:17">
      <c r="G157" s="5"/>
      <c r="H157" s="5"/>
      <c r="I157" s="9"/>
      <c r="Q157"/>
    </row>
    <row r="158" spans="7:17">
      <c r="G158" s="5"/>
      <c r="H158" s="5"/>
      <c r="I158" s="9"/>
      <c r="Q158"/>
    </row>
    <row r="159" spans="7:17">
      <c r="G159" s="5"/>
      <c r="H159" s="5"/>
      <c r="I159" s="9"/>
      <c r="Q159"/>
    </row>
    <row r="160" spans="7:17">
      <c r="Q160"/>
    </row>
    <row r="161" spans="7:17">
      <c r="Q161"/>
    </row>
    <row r="162" spans="7:17">
      <c r="Q162"/>
    </row>
    <row r="163" spans="7:17">
      <c r="Q163"/>
    </row>
    <row r="164" spans="7:17">
      <c r="Q164"/>
    </row>
    <row r="165" spans="7:17">
      <c r="Q165"/>
    </row>
    <row r="166" spans="7:17">
      <c r="Q166"/>
    </row>
    <row r="167" spans="7:17">
      <c r="Q167"/>
    </row>
    <row r="168" spans="7:17">
      <c r="Q168"/>
    </row>
    <row r="169" spans="7:17">
      <c r="Q169"/>
    </row>
    <row r="170" spans="7:17">
      <c r="Q170"/>
    </row>
    <row r="171" spans="7:17">
      <c r="Q171"/>
    </row>
    <row r="172" spans="7:17">
      <c r="Q172"/>
    </row>
    <row r="173" spans="7:17">
      <c r="Q173"/>
    </row>
    <row r="174" spans="7:17">
      <c r="Q174"/>
    </row>
    <row r="175" spans="7:17">
      <c r="Q175"/>
    </row>
    <row r="176" spans="7:17">
      <c r="G176" s="5"/>
      <c r="H176" s="5"/>
      <c r="I176" s="9"/>
      <c r="Q176"/>
    </row>
    <row r="177" spans="7:17">
      <c r="G177" s="5"/>
      <c r="H177" s="5"/>
      <c r="I177" s="9"/>
      <c r="Q177"/>
    </row>
    <row r="178" spans="7:17">
      <c r="G178" s="5"/>
      <c r="H178" s="5"/>
      <c r="I178" s="9"/>
      <c r="Q178"/>
    </row>
    <row r="179" spans="7:17">
      <c r="G179" s="5"/>
      <c r="H179" s="5"/>
      <c r="I179" s="9"/>
      <c r="Q179"/>
    </row>
    <row r="180" spans="7:17">
      <c r="G180" s="5"/>
      <c r="H180" s="5"/>
      <c r="I180" s="9"/>
      <c r="Q180"/>
    </row>
    <row r="181" spans="7:17">
      <c r="G181" s="5"/>
      <c r="H181" s="5"/>
      <c r="I181" s="9"/>
    </row>
    <row r="182" spans="7:17">
      <c r="G182" s="5"/>
      <c r="H182" s="5"/>
      <c r="I182" s="9"/>
    </row>
    <row r="183" spans="7:17">
      <c r="G183" s="5"/>
      <c r="H183" s="5"/>
      <c r="I183" s="9"/>
    </row>
    <row r="184" spans="7:17">
      <c r="G184" s="5"/>
      <c r="H184" s="5"/>
      <c r="I184" s="9"/>
    </row>
  </sheetData>
  <conditionalFormatting sqref="I2:I1048576">
    <cfRule type="cellIs" dxfId="1" priority="2" operator="lessThan">
      <formula>0.05</formula>
    </cfRule>
  </conditionalFormatting>
  <conditionalFormatting sqref="I1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5511F4-B963-4D2A-8BB5-0235E0FE05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8</vt:i4>
      </vt:variant>
      <vt:variant>
        <vt:lpstr>Benoemde bereiken</vt:lpstr>
      </vt:variant>
      <vt:variant>
        <vt:i4>4</vt:i4>
      </vt:variant>
    </vt:vector>
  </HeadingPairs>
  <TitlesOfParts>
    <vt:vector size="12" baseType="lpstr">
      <vt:lpstr>Adulthood symptoms</vt:lpstr>
      <vt:lpstr>Childhood symptoms</vt:lpstr>
      <vt:lpstr>Adulthood impairment</vt:lpstr>
      <vt:lpstr>Childhood impairment</vt:lpstr>
      <vt:lpstr>Adulthood symptom examples</vt:lpstr>
      <vt:lpstr>Childhood symptom examples</vt:lpstr>
      <vt:lpstr>Adulthood impairment examples</vt:lpstr>
      <vt:lpstr>Childhood impairment examples</vt:lpstr>
      <vt:lpstr>'Adulthood impairment'!_Hlk177116352</vt:lpstr>
      <vt:lpstr>'Adulthood symptoms'!_Hlk177116352</vt:lpstr>
      <vt:lpstr>'Childhood impairment'!_Hlk177116352</vt:lpstr>
      <vt:lpstr>'Childhood symptoms'!_Hlk177116352</vt:lpstr>
    </vt:vector>
  </TitlesOfParts>
  <Company>Parnassia Groep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Noemi Platania</dc:creator>
  <cp:lastModifiedBy>Noemi Platania</cp:lastModifiedBy>
  <dcterms:created xsi:type="dcterms:W3CDTF">2024-07-08T15:04:18Z</dcterms:created>
  <dcterms:modified xsi:type="dcterms:W3CDTF">2025-02-17T15:49:10Z</dcterms:modified>
</cp:coreProperties>
</file>